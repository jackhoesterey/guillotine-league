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ference" sheetId="2" state="visible" r:id="rId4"/>
    <sheet name="FAAB Log" sheetId="3" state="visible" r:id="rId5"/>
    <sheet name="Weekly Results" sheetId="4" state="visible" r:id="rId6"/>
    <sheet name="My Ro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<sst xmlns="http://schemas.openxmlformats.org/spreadsheetml/2006/main" count="198" uniqueCount="163">
  <si>
    <t xml:space="preserve">Guillotine Command Centre — 2026</t>
  </si>
  <si>
    <t xml:space="preserve">18 teams · Full PPR · $1,000 FAAB · one team chopped every week · champion crowned after Week 17</t>
  </si>
  <si>
    <t xml:space="preserve">Fill in the two yellow cells below, then keep the FAAB Log and Weekly Results tabs up to date. Everything else calculates itself.</t>
  </si>
  <si>
    <t xml:space="preserve">Starting FAAB budget</t>
  </si>
  <si>
    <t xml:space="preserve">← type your league's budget</t>
  </si>
  <si>
    <t xml:space="preserve">Blue text on yellow = you type it. Black = calculated. Green = pulled from the Reference tab.</t>
  </si>
  <si>
    <t xml:space="preserve">Current NFL week</t>
  </si>
  <si>
    <t xml:space="preserve">← update this every Tuesday</t>
  </si>
  <si>
    <t xml:space="preserve">WHERE YOU STAND</t>
  </si>
  <si>
    <t xml:space="preserve">BID CEILINGS BY TIER</t>
  </si>
  <si>
    <t xml:space="preserve">Teams still alive</t>
  </si>
  <si>
    <t xml:space="preserve">For the current week, based on the week number above.</t>
  </si>
  <si>
    <t xml:space="preserve">Chopped players in the pool</t>
  </si>
  <si>
    <t xml:space="preserve">Tier</t>
  </si>
  <si>
    <t xml:space="preserve">Max bid now</t>
  </si>
  <si>
    <t xml:space="preserve">Stage of the season</t>
  </si>
  <si>
    <t xml:space="preserve">Elite</t>
  </si>
  <si>
    <t xml:space="preserve">Teams on bye this week</t>
  </si>
  <si>
    <t xml:space="preserve">Real starter</t>
  </si>
  <si>
    <t xml:space="preserve">Patch</t>
  </si>
  <si>
    <t xml:space="preserve">THE MONEY</t>
  </si>
  <si>
    <t xml:space="preserve">Streamer</t>
  </si>
  <si>
    <t xml:space="preserve">Spent so far</t>
  </si>
  <si>
    <t xml:space="preserve">Handcuff</t>
  </si>
  <si>
    <t xml:space="preserve">Budget remaining</t>
  </si>
  <si>
    <t xml:space="preserve">% of budget remaining</t>
  </si>
  <si>
    <t xml:space="preserve">Then adjust: if you would be bottom-five this week, bid the ceiling. If you are comfortably mid-pack, bid the low end or nothing at all.</t>
  </si>
  <si>
    <t xml:space="preserve">Target remaining, this week</t>
  </si>
  <si>
    <t xml:space="preserve">Variance vs. target</t>
  </si>
  <si>
    <t xml:space="preserve">Verdict</t>
  </si>
  <si>
    <t xml:space="preserve">HOW YOU ARE SCORING</t>
  </si>
  <si>
    <t xml:space="preserve">Weeks survived</t>
  </si>
  <si>
    <t xml:space="preserve">Average margin over the chop</t>
  </si>
  <si>
    <t xml:space="preserve">Closest call so far</t>
  </si>
  <si>
    <t xml:space="preserve">Danger weeks (margin under 10)</t>
  </si>
  <si>
    <t xml:space="preserve">Sunday 11:00 AM ET — check every starter against the inactive list.</t>
  </si>
  <si>
    <t xml:space="preserve">More guillotine teams are eliminated by a player who did not play than by a bad draft. Set the alarm.</t>
  </si>
  <si>
    <t xml:space="preserve">Reference tables — do not edit</t>
  </si>
  <si>
    <t xml:space="preserve">Everything on the other tabs looks values up from here.</t>
  </si>
  <si>
    <t xml:space="preserve">Week</t>
  </si>
  <si>
    <t xml:space="preserve">Teams alive</t>
  </si>
  <si>
    <t xml:space="preserve">Chopped players in pool</t>
  </si>
  <si>
    <t xml:space="preserve">Teams on bye</t>
  </si>
  <si>
    <t xml:space="preserve">Stage</t>
  </si>
  <si>
    <t xml:space="preserve">Target $ left at start of week</t>
  </si>
  <si>
    <t xml:space="preserve">none</t>
  </si>
  <si>
    <t xml:space="preserve">Survive</t>
  </si>
  <si>
    <t xml:space="preserve">KC, CAR</t>
  </si>
  <si>
    <t xml:space="preserve">Navigate</t>
  </si>
  <si>
    <t xml:space="preserve">CIN, DET, MIA, MIN</t>
  </si>
  <si>
    <t xml:space="preserve">BUF, JAX, LAC, WSH</t>
  </si>
  <si>
    <t xml:space="preserve">HOU, NO, NYG, SF</t>
  </si>
  <si>
    <t xml:space="preserve">PIT, TEN</t>
  </si>
  <si>
    <t xml:space="preserve">CHI, DEN, PHI, TB</t>
  </si>
  <si>
    <t xml:space="preserve">Pivot</t>
  </si>
  <si>
    <t xml:space="preserve">ATL, CLE, GB, LAR, NE, SEA</t>
  </si>
  <si>
    <t xml:space="preserve">none (Thanksgiving)</t>
  </si>
  <si>
    <t xml:space="preserve">BAL, IND, LV, NYJ</t>
  </si>
  <si>
    <t xml:space="preserve">ARI, DAL</t>
  </si>
  <si>
    <t xml:space="preserve">Empty tank</t>
  </si>
  <si>
    <t xml:space="preserve">Empty tank — champion crowned</t>
  </si>
  <si>
    <t xml:space="preserve">NFL team</t>
  </si>
  <si>
    <t xml:space="preserve">Bye week</t>
  </si>
  <si>
    <t xml:space="preserve">2026 bye weeks, all 32 teams.</t>
  </si>
  <si>
    <t xml:space="preserve">ARI</t>
  </si>
  <si>
    <t xml:space="preserve">Source: NFL.com 2026 schedule release.</t>
  </si>
  <si>
    <t xml:space="preserve">ATL</t>
  </si>
  <si>
    <t xml:space="preserve">BAL</t>
  </si>
  <si>
    <t xml:space="preserve">BUF</t>
  </si>
  <si>
    <t xml:space="preserve">CAR</t>
  </si>
  <si>
    <t xml:space="preserve">CHI</t>
  </si>
  <si>
    <t xml:space="preserve">CIN</t>
  </si>
  <si>
    <t xml:space="preserve">CLE</t>
  </si>
  <si>
    <t xml:space="preserve">DAL</t>
  </si>
  <si>
    <t xml:space="preserve">DEN</t>
  </si>
  <si>
    <t xml:space="preserve">DET</t>
  </si>
  <si>
    <t xml:space="preserve">GB</t>
  </si>
  <si>
    <t xml:space="preserve">HOU</t>
  </si>
  <si>
    <t xml:space="preserve">IND</t>
  </si>
  <si>
    <t xml:space="preserve">JAX</t>
  </si>
  <si>
    <t xml:space="preserve">KC</t>
  </si>
  <si>
    <t xml:space="preserve">LAC</t>
  </si>
  <si>
    <t xml:space="preserve">LAR</t>
  </si>
  <si>
    <t xml:space="preserve">LV</t>
  </si>
  <si>
    <t xml:space="preserve">MIA</t>
  </si>
  <si>
    <t xml:space="preserve">MIN</t>
  </si>
  <si>
    <t xml:space="preserve">NE</t>
  </si>
  <si>
    <t xml:space="preserve">NO</t>
  </si>
  <si>
    <t xml:space="preserve">NYG</t>
  </si>
  <si>
    <t xml:space="preserve">NYJ</t>
  </si>
  <si>
    <t xml:space="preserve">PHI</t>
  </si>
  <si>
    <t xml:space="preserve">PIT</t>
  </si>
  <si>
    <t xml:space="preserve">SEA</t>
  </si>
  <si>
    <t xml:space="preserve">SF</t>
  </si>
  <si>
    <t xml:space="preserve">TB</t>
  </si>
  <si>
    <t xml:space="preserve">TEN</t>
  </si>
  <si>
    <t xml:space="preserve">WSH</t>
  </si>
  <si>
    <t xml:space="preserve">What it means</t>
  </si>
  <si>
    <t xml:space="preserve">Max bid Wk 1-4</t>
  </si>
  <si>
    <t xml:space="preserve">Max bid Wk 5-9</t>
  </si>
  <si>
    <t xml:space="preserve">Max bid Wk 10-13</t>
  </si>
  <si>
    <t xml:space="preserve">Max bid Wk 14-17</t>
  </si>
  <si>
    <t xml:space="preserve">Top-15 overall. Wins you weeks for the rest of the season.</t>
  </si>
  <si>
    <t xml:space="preserve">Would start on your team every week from now on.</t>
  </si>
  <si>
    <t xml:space="preserve">Covers a bye or an injury for 2-4 weeks.</t>
  </si>
  <si>
    <t xml:space="preserve">One good matchup, then droppable.</t>
  </si>
  <si>
    <t xml:space="preserve">Insurance body / lottery ticket.</t>
  </si>
  <si>
    <t xml:space="preserve">Wk 14-17 shows $9,999 to mean "no ceiling" — by then, money you do not spend is money you wasted.</t>
  </si>
  <si>
    <t xml:space="preserve">Source: bid ranges adapted from RotoWire and Fantasy Life guillotine FAAB analysis; see the playbook for the full reasoning.</t>
  </si>
  <si>
    <t xml:space="preserve">FAAB Log</t>
  </si>
  <si>
    <t xml:space="preserve">Log every bid you place — won or lost. Yellow cells are yours to fill in. Losing bids matter: they tell you what the market costs.</t>
  </si>
  <si>
    <t xml:space="preserve">Player</t>
  </si>
  <si>
    <t xml:space="preserve">Pos</t>
  </si>
  <si>
    <t xml:space="preserve">Bid $</t>
  </si>
  <si>
    <t xml:space="preserve">Won? (Y/N)</t>
  </si>
  <si>
    <t xml:space="preserve">Max bid allowed</t>
  </si>
  <si>
    <t xml:space="preserve">Over ceiling?</t>
  </si>
  <si>
    <t xml:space="preserve">$ left after</t>
  </si>
  <si>
    <t xml:space="preserve">Notes</t>
  </si>
  <si>
    <t xml:space="preserve">(example) J. Doe</t>
  </si>
  <si>
    <t xml:space="preserve">RB</t>
  </si>
  <si>
    <t xml:space="preserve">N</t>
  </si>
  <si>
    <t xml:space="preserve">Example row — overwrite it. Bid odd numbers ($21, not $20): ties lose players.</t>
  </si>
  <si>
    <t xml:space="preserve">Weekly Results</t>
  </si>
  <si>
    <t xml:space="preserve">Fill this in every Monday night. The 'chop line' is the score of the team that got eliminated — the lowest score in the league that week.</t>
  </si>
  <si>
    <t xml:space="preserve">My score</t>
  </si>
  <si>
    <t xml:space="preserve">Chop line (lowest score)</t>
  </si>
  <si>
    <t xml:space="preserve">League median</t>
  </si>
  <si>
    <t xml:space="preserve">My margin over the chop</t>
  </si>
  <si>
    <t xml:space="preserve">Safety</t>
  </si>
  <si>
    <t xml:space="preserve">Team eliminated</t>
  </si>
  <si>
    <t xml:space="preserve">Margin under 10 points means you were one injury away from being eliminated. Two DANGER weeks in a row means spend FAAB now, whatever the budget curve says.</t>
  </si>
  <si>
    <t xml:space="preserve">My Roster</t>
  </si>
  <si>
    <t xml:space="preserve">Type the NFL team code (DET, SEA, KC…) and the bye week fills itself in. The bye-week summary underneath shows where you are stacked up.</t>
  </si>
  <si>
    <t xml:space="preserve">Slot</t>
  </si>
  <si>
    <t xml:space="preserve">Acquired</t>
  </si>
  <si>
    <t xml:space="preserve">Cost $</t>
  </si>
  <si>
    <t xml:space="preserve">QB</t>
  </si>
  <si>
    <t xml:space="preserve">RB1</t>
  </si>
  <si>
    <t xml:space="preserve">RB2</t>
  </si>
  <si>
    <t xml:space="preserve">WR1</t>
  </si>
  <si>
    <t xml:space="preserve">WR2</t>
  </si>
  <si>
    <t xml:space="preserve">TE</t>
  </si>
  <si>
    <t xml:space="preserve">FLEX</t>
  </si>
  <si>
    <t xml:space="preserve">BN1</t>
  </si>
  <si>
    <t xml:space="preserve">BN2</t>
  </si>
  <si>
    <t xml:space="preserve">BN3</t>
  </si>
  <si>
    <t xml:space="preserve">BN4</t>
  </si>
  <si>
    <t xml:space="preserve">BN5</t>
  </si>
  <si>
    <t xml:space="preserve">BN6</t>
  </si>
  <si>
    <t xml:space="preserve">BN7</t>
  </si>
  <si>
    <t xml:space="preserve">Bye week exposure</t>
  </si>
  <si>
    <t xml:space="preserve">How many of your 14 players are off that week. Anything over 4 in one week is a real problem — plan FAAB for it.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</si>
  <si>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</si>
  <si>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</si>
  <si>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</si>
  <si>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</si>
  <si>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</si>
  <si>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</si>
  <si>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</si>
  <si>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13</t>
  </si>
  <si>
    <t xml:space="preserve">14</t>
  </si>
  <si>
    <t xml:space="preserve">Players out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</si>
</sst>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"/>
    <numFmt numFmtId="167" formatCode="@"/>
    <numFmt numFmtId="168" formatCode="0.0%"/>
    <numFmt numFmtId="169" formatCode="\$#,##0;&quot;($&quot;#,##0\);\-"/>
    <numFmt numFmtId="170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30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243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B0002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430"/>
        <bgColor rgb="FF333300"/>
      </patternFill>
    </fill>
    <fill>
      <patternFill patternType="solid">
        <fgColor rgb="FFFEF7E0"/>
        <bgColor rgb="FFF2F4F7"/>
      </patternFill>
    </fill>
    <fill>
      <patternFill patternType="solid">
        <fgColor rgb="FFF2F4F7"/>
        <bgColor rgb="FFE6F4EA"/>
      </patternFill>
    </fill>
    <fill>
      <patternFill patternType="solid">
        <fgColor rgb="FFE6F4EA"/>
        <bgColor rgb="FFF2F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  <border diagonalUp="false" diagonalDown="false">
      <left style="thin">
        <color rgb="FFD0D4DC"/>
      </left>
      <right/>
      <top style="thin">
        <color rgb="FFD0D4DC"/>
      </top>
      <bottom style="thin">
        <color rgb="FFD0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7E0"/>
      <rgbColor rgb="FFE6F4EA"/>
      <rgbColor rgb="FF660066"/>
      <rgbColor rgb="FFFF8080"/>
      <rgbColor rgb="FF0066CC"/>
      <rgbColor rgb="FFD0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1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4"/>
    <col collapsed="false" customWidth="true" hidden="false" outlineLevel="0" max="7" min="7" style="0" width="4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5" t="n">
        <v>1000</v>
      </c>
      <c r="D5" s="3" t="s">
        <v>4</v>
      </c>
      <c r="G5" s="6" t="s">
        <v>5</v>
      </c>
    </row>
    <row r="6" customFormat="false" ht="15" hidden="false" customHeight="false" outlineLevel="0" collapsed="false">
      <c r="A6" s="4" t="s">
        <v>6</v>
      </c>
      <c r="B6" s="7" t="n">
        <v>1</v>
      </c>
      <c r="D6" s="3" t="s">
        <v>7</v>
      </c>
      <c r="G6" s="6"/>
    </row>
    <row r="8" customFormat="false" ht="15" hidden="false" customHeight="false" outlineLevel="0" collapsed="false">
      <c r="A8" s="8" t="s">
        <v>8</v>
      </c>
      <c r="D8" s="8" t="s">
        <v>9</v>
      </c>
    </row>
    <row r="9" customFormat="false" ht="15" hidden="false" customHeight="false" outlineLevel="0" collapsed="false">
      <c r="A9" s="9" t="s">
        <v>10</v>
      </c>
      <c r="B9" s="10" t="n">
        <f aca="false">IFERROR(INDEX(Reference!$B$5:$B$21,MATCH($B$6,Reference!$A$5:$A$21,0)),"")</f>
        <v>18</v>
      </c>
      <c r="D9" s="2" t="s">
        <v>11</v>
      </c>
    </row>
    <row r="10" customFormat="false" ht="15" hidden="false" customHeight="false" outlineLevel="0" collapsed="false">
      <c r="A10" s="9" t="s">
        <v>12</v>
      </c>
      <c r="B10" s="10" t="n">
        <f aca="false">IFERROR(INDEX(Reference!$C$5:$C$21,MATCH($B$6,Reference!$A$5:$A$21,0)),"")</f>
        <v>0</v>
      </c>
      <c r="D10" s="11" t="s">
        <v>13</v>
      </c>
      <c r="E10" s="11" t="s">
        <v>14</v>
      </c>
    </row>
    <row r="11" customFormat="false" ht="15" hidden="false" customHeight="false" outlineLevel="0" collapsed="false">
      <c r="A11" s="9" t="s">
        <v>15</v>
      </c>
      <c r="B11" s="12" t="str">
        <f aca="false">IFERROR(INDEX(Reference!$E$5:$E$21,MATCH($B$6,Reference!$A$5:$A$21,0)),"")</f>
        <v>Survive</v>
      </c>
      <c r="D11" s="13" t="s">
        <v>16</v>
      </c>
      <c r="E11" s="14" t="n">
        <f aca="false">IFERROR(INDEX(Reference!$C$61:$F$65,MATCH($D11,Reference!$A$61:$A$65,0),IF($B$6&lt;=4,1,IF($B$6&lt;=9,2,IF($B$6&lt;=13,3,4)))),"")</f>
        <v>250</v>
      </c>
    </row>
    <row r="12" customFormat="false" ht="15" hidden="false" customHeight="false" outlineLevel="0" collapsed="false">
      <c r="A12" s="9" t="s">
        <v>17</v>
      </c>
      <c r="B12" s="12" t="str">
        <f aca="false">IFERROR(INDEX(Reference!$D$5:$D$21,MATCH($B$6,Reference!$A$5:$A$21,0)),"")</f>
        <v>none</v>
      </c>
      <c r="D12" s="13" t="s">
        <v>18</v>
      </c>
      <c r="E12" s="14" t="n">
        <f aca="false">IFERROR(INDEX(Reference!$C$61:$F$65,MATCH($D12,Reference!$A$61:$A$65,0),IF($B$6&lt;=4,1,IF($B$6&lt;=9,2,IF($B$6&lt;=13,3,4)))),"")</f>
        <v>75</v>
      </c>
    </row>
    <row r="13" customFormat="false" ht="15" hidden="false" customHeight="false" outlineLevel="0" collapsed="false">
      <c r="D13" s="13" t="s">
        <v>19</v>
      </c>
      <c r="E13" s="14" t="n">
        <f aca="false">IFERROR(INDEX(Reference!$C$61:$F$65,MATCH($D13,Reference!$A$61:$A$65,0),IF($B$6&lt;=4,1,IF($B$6&lt;=9,2,IF($B$6&lt;=13,3,4)))),"")</f>
        <v>25</v>
      </c>
    </row>
    <row r="14" customFormat="false" ht="15" hidden="false" customHeight="false" outlineLevel="0" collapsed="false">
      <c r="A14" s="8" t="s">
        <v>20</v>
      </c>
      <c r="D14" s="13" t="s">
        <v>21</v>
      </c>
      <c r="E14" s="14" t="n">
        <f aca="false">IFERROR(INDEX(Reference!$C$61:$F$65,MATCH($D14,Reference!$A$61:$A$65,0),IF($B$6&lt;=4,1,IF($B$6&lt;=9,2,IF($B$6&lt;=13,3,4)))),"")</f>
        <v>8</v>
      </c>
    </row>
    <row r="15" customFormat="false" ht="15" hidden="false" customHeight="false" outlineLevel="0" collapsed="false">
      <c r="A15" s="9" t="s">
        <v>22</v>
      </c>
      <c r="B15" s="14" t="n">
        <f aca="false">SUMIFS('FAAB Log'!$E$5:$E$124,'FAAB Log'!$F$5:$F$124,"Y")</f>
        <v>0</v>
      </c>
      <c r="D15" s="13" t="s">
        <v>23</v>
      </c>
      <c r="E15" s="14" t="n">
        <f aca="false">IFERROR(INDEX(Reference!$C$61:$F$65,MATCH($D15,Reference!$A$61:$A$65,0),IF($B$6&lt;=4,1,IF($B$6&lt;=9,2,IF($B$6&lt;=13,3,4)))),"")</f>
        <v>3</v>
      </c>
    </row>
    <row r="16" customFormat="false" ht="15" hidden="false" customHeight="false" outlineLevel="0" collapsed="false">
      <c r="A16" s="9" t="s">
        <v>24</v>
      </c>
      <c r="B16" s="15" t="n">
        <f aca="false">$B$5-$B$15</f>
        <v>1000</v>
      </c>
    </row>
    <row r="17" customFormat="false" ht="15" hidden="false" customHeight="true" outlineLevel="0" collapsed="false">
      <c r="A17" s="9" t="s">
        <v>25</v>
      </c>
      <c r="B17" s="16" t="n">
        <f aca="false">IFERROR($B$16/$B$5,0)</f>
        <v>1</v>
      </c>
      <c r="D17" s="6" t="s">
        <v>26</v>
      </c>
      <c r="E17" s="6"/>
      <c r="F17" s="6"/>
      <c r="G17" s="6"/>
    </row>
    <row r="18" customFormat="false" ht="15" hidden="false" customHeight="false" outlineLevel="0" collapsed="false">
      <c r="A18" s="9" t="s">
        <v>27</v>
      </c>
      <c r="B18" s="14" t="n">
        <f aca="false">IFERROR(INDEX(Reference!$F$5:$F$21,MATCH($B$6,Reference!$A$5:$A$21,0)),"")</f>
        <v>1000</v>
      </c>
      <c r="D18" s="6"/>
      <c r="E18" s="6"/>
      <c r="F18" s="6"/>
      <c r="G18" s="6"/>
    </row>
    <row r="19" customFormat="false" ht="15" hidden="false" customHeight="false" outlineLevel="0" collapsed="false">
      <c r="A19" s="9" t="s">
        <v>28</v>
      </c>
      <c r="B19" s="17" t="n">
        <f aca="false">IF($B$18="","",$B$16-$B$18)</f>
        <v>0</v>
      </c>
    </row>
    <row r="21" customFormat="false" ht="31.5" hidden="false" customHeight="true" outlineLevel="0" collapsed="false">
      <c r="A21" s="4" t="s">
        <v>29</v>
      </c>
      <c r="B21" s="18" t="str">
        <f aca="false">IF($B$19="","Enter the current week above.",IF(AND($B$6&gt;=14,$B$16&gt;150),"SPEND IT ALL. Money you carry past your final week is money you wasted.",IF($B$19&lt;-150,"OVERSPENT. You are burning budget faster than the curve. Bid only on genuine starters from here.",IF($B$19&gt;250,"HOARDING. The chop line rises every week and you are standing still. Start buying real starters now.","On pace. Keep bidding to the tier ceilings on the Bid Guide."))))</f>
        <v>On pace. Keep bidding to the tier ceilings on the Bid Guide.</v>
      </c>
      <c r="C21" s="18"/>
      <c r="D21" s="18"/>
      <c r="E21" s="18"/>
      <c r="F21" s="18"/>
      <c r="G21" s="18"/>
    </row>
    <row r="23" customFormat="false" ht="15" hidden="false" customHeight="false" outlineLevel="0" collapsed="false">
      <c r="A23" s="8" t="s">
        <v>30</v>
      </c>
    </row>
    <row r="24" customFormat="false" ht="15" hidden="false" customHeight="false" outlineLevel="0" collapsed="false">
      <c r="A24" s="9" t="s">
        <v>31</v>
      </c>
      <c r="B24" s="19" t="n">
        <f aca="false">COUNTIFS('Weekly Results'!$B$5:$B$21,"&gt;0")</f>
        <v>0</v>
      </c>
    </row>
    <row r="25" customFormat="false" ht="15" hidden="false" customHeight="false" outlineLevel="0" collapsed="false">
      <c r="A25" s="9" t="s">
        <v>32</v>
      </c>
      <c r="B25" s="20" t="str">
        <f aca="false">IF(COUNT('Weekly Results'!$E$5:$E$21)=0,"",AVERAGE('Weekly Results'!$E$5:$E$21))</f>
        <v/>
      </c>
    </row>
    <row r="26" customFormat="false" ht="15" hidden="false" customHeight="false" outlineLevel="0" collapsed="false">
      <c r="A26" s="9" t="s">
        <v>33</v>
      </c>
      <c r="B26" s="20" t="str">
        <f aca="false">IF(COUNT('Weekly Results'!$E$5:$E$21)=0,"",MIN('Weekly Results'!$E$5:$E$21))</f>
        <v/>
      </c>
    </row>
    <row r="27" customFormat="false" ht="15" hidden="false" customHeight="false" outlineLevel="0" collapsed="false">
      <c r="A27" s="9" t="s">
        <v>34</v>
      </c>
      <c r="B27" s="19" t="n">
        <f aca="false">COUNTIFS('Weekly Results'!$E$5:$E$21,"&lt;10",'Weekly Results'!$E$5:$E$21,"&gt;-9999")</f>
        <v>0</v>
      </c>
    </row>
    <row r="29" customFormat="false" ht="15" hidden="false" customHeight="false" outlineLevel="0" collapsed="false">
      <c r="A29" s="21" t="s">
        <v>35</v>
      </c>
    </row>
    <row r="30" customFormat="false" ht="15" hidden="false" customHeight="false" outlineLevel="0" collapsed="false">
      <c r="A30" s="3" t="s">
        <v>36</v>
      </c>
    </row>
  </sheetData>
  <mergeCells count="3">
    <mergeCell ref="G5:G6"/>
    <mergeCell ref="D17:G18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4" min="3" style="0" width="15"/>
    <col collapsed="false" customWidth="true" hidden="false" outlineLevel="0" max="6" min="5" style="0" width="16"/>
    <col collapsed="false" customWidth="true" hidden="false" outlineLevel="0" max="9" min="8" style="0" width="12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27.75" hidden="false" customHeight="true" outlineLevel="0" collapsed="false">
      <c r="A4" s="22" t="s">
        <v>39</v>
      </c>
      <c r="B4" s="22" t="s">
        <v>40</v>
      </c>
      <c r="C4" s="22" t="s">
        <v>41</v>
      </c>
      <c r="D4" s="22" t="s">
        <v>42</v>
      </c>
      <c r="E4" s="22" t="s">
        <v>43</v>
      </c>
      <c r="F4" s="22" t="s">
        <v>44</v>
      </c>
    </row>
    <row r="5" customFormat="false" ht="15" hidden="false" customHeight="false" outlineLevel="0" collapsed="false">
      <c r="A5" s="23" t="n">
        <v>1</v>
      </c>
      <c r="B5" s="23" t="n">
        <v>18</v>
      </c>
      <c r="C5" s="23" t="n">
        <v>0</v>
      </c>
      <c r="D5" s="24" t="s">
        <v>45</v>
      </c>
      <c r="E5" s="24" t="s">
        <v>46</v>
      </c>
      <c r="F5" s="14" t="n">
        <v>1000</v>
      </c>
    </row>
    <row r="6" customFormat="false" ht="15" hidden="false" customHeight="false" outlineLevel="0" collapsed="false">
      <c r="A6" s="25" t="n">
        <v>2</v>
      </c>
      <c r="B6" s="25" t="n">
        <v>17</v>
      </c>
      <c r="C6" s="25" t="n">
        <v>14</v>
      </c>
      <c r="D6" s="26" t="s">
        <v>45</v>
      </c>
      <c r="E6" s="26" t="s">
        <v>46</v>
      </c>
      <c r="F6" s="27" t="n">
        <v>975</v>
      </c>
    </row>
    <row r="7" customFormat="false" ht="15" hidden="false" customHeight="false" outlineLevel="0" collapsed="false">
      <c r="A7" s="23" t="n">
        <v>3</v>
      </c>
      <c r="B7" s="23" t="n">
        <v>16</v>
      </c>
      <c r="C7" s="23" t="n">
        <v>28</v>
      </c>
      <c r="D7" s="24" t="s">
        <v>45</v>
      </c>
      <c r="E7" s="24" t="s">
        <v>46</v>
      </c>
      <c r="F7" s="14" t="n">
        <v>950</v>
      </c>
    </row>
    <row r="8" customFormat="false" ht="15" hidden="false" customHeight="false" outlineLevel="0" collapsed="false">
      <c r="A8" s="25" t="n">
        <v>4</v>
      </c>
      <c r="B8" s="25" t="n">
        <v>15</v>
      </c>
      <c r="C8" s="25" t="n">
        <v>42</v>
      </c>
      <c r="D8" s="26" t="s">
        <v>45</v>
      </c>
      <c r="E8" s="26" t="s">
        <v>46</v>
      </c>
      <c r="F8" s="27" t="n">
        <v>900</v>
      </c>
    </row>
    <row r="9" customFormat="false" ht="15" hidden="false" customHeight="false" outlineLevel="0" collapsed="false">
      <c r="A9" s="23" t="n">
        <v>5</v>
      </c>
      <c r="B9" s="23" t="n">
        <v>14</v>
      </c>
      <c r="C9" s="23" t="n">
        <v>56</v>
      </c>
      <c r="D9" s="24" t="s">
        <v>47</v>
      </c>
      <c r="E9" s="24" t="s">
        <v>48</v>
      </c>
      <c r="F9" s="14" t="n">
        <v>850</v>
      </c>
    </row>
    <row r="10" customFormat="false" ht="15" hidden="false" customHeight="false" outlineLevel="0" collapsed="false">
      <c r="A10" s="25" t="n">
        <v>6</v>
      </c>
      <c r="B10" s="25" t="n">
        <v>13</v>
      </c>
      <c r="C10" s="25" t="n">
        <v>70</v>
      </c>
      <c r="D10" s="26" t="s">
        <v>49</v>
      </c>
      <c r="E10" s="26" t="s">
        <v>48</v>
      </c>
      <c r="F10" s="27" t="n">
        <v>820</v>
      </c>
    </row>
    <row r="11" customFormat="false" ht="15" hidden="false" customHeight="false" outlineLevel="0" collapsed="false">
      <c r="A11" s="23" t="n">
        <v>7</v>
      </c>
      <c r="B11" s="23" t="n">
        <v>12</v>
      </c>
      <c r="C11" s="23" t="n">
        <v>84</v>
      </c>
      <c r="D11" s="24" t="s">
        <v>50</v>
      </c>
      <c r="E11" s="24" t="s">
        <v>48</v>
      </c>
      <c r="F11" s="14" t="n">
        <v>780</v>
      </c>
    </row>
    <row r="12" customFormat="false" ht="15" hidden="false" customHeight="false" outlineLevel="0" collapsed="false">
      <c r="A12" s="25" t="n">
        <v>8</v>
      </c>
      <c r="B12" s="25" t="n">
        <v>11</v>
      </c>
      <c r="C12" s="25" t="n">
        <v>98</v>
      </c>
      <c r="D12" s="26" t="s">
        <v>51</v>
      </c>
      <c r="E12" s="26" t="s">
        <v>48</v>
      </c>
      <c r="F12" s="27" t="n">
        <v>740</v>
      </c>
    </row>
    <row r="13" customFormat="false" ht="15" hidden="false" customHeight="false" outlineLevel="0" collapsed="false">
      <c r="A13" s="23" t="n">
        <v>9</v>
      </c>
      <c r="B13" s="23" t="n">
        <v>10</v>
      </c>
      <c r="C13" s="23" t="n">
        <v>112</v>
      </c>
      <c r="D13" s="24" t="s">
        <v>52</v>
      </c>
      <c r="E13" s="24" t="s">
        <v>48</v>
      </c>
      <c r="F13" s="14" t="n">
        <v>700</v>
      </c>
    </row>
    <row r="14" customFormat="false" ht="15" hidden="false" customHeight="false" outlineLevel="0" collapsed="false">
      <c r="A14" s="25" t="n">
        <v>10</v>
      </c>
      <c r="B14" s="25" t="n">
        <v>9</v>
      </c>
      <c r="C14" s="25" t="n">
        <v>126</v>
      </c>
      <c r="D14" s="26" t="s">
        <v>53</v>
      </c>
      <c r="E14" s="26" t="s">
        <v>54</v>
      </c>
      <c r="F14" s="27" t="n">
        <v>650</v>
      </c>
    </row>
    <row r="15" customFormat="false" ht="15" hidden="false" customHeight="false" outlineLevel="0" collapsed="false">
      <c r="A15" s="23" t="n">
        <v>11</v>
      </c>
      <c r="B15" s="23" t="n">
        <v>8</v>
      </c>
      <c r="C15" s="23" t="n">
        <v>140</v>
      </c>
      <c r="D15" s="24" t="s">
        <v>55</v>
      </c>
      <c r="E15" s="24" t="s">
        <v>54</v>
      </c>
      <c r="F15" s="14" t="n">
        <v>550</v>
      </c>
    </row>
    <row r="16" customFormat="false" ht="15" hidden="false" customHeight="false" outlineLevel="0" collapsed="false">
      <c r="A16" s="25" t="n">
        <v>12</v>
      </c>
      <c r="B16" s="25" t="n">
        <v>7</v>
      </c>
      <c r="C16" s="25" t="n">
        <v>154</v>
      </c>
      <c r="D16" s="26" t="s">
        <v>56</v>
      </c>
      <c r="E16" s="26" t="s">
        <v>54</v>
      </c>
      <c r="F16" s="27" t="n">
        <v>450</v>
      </c>
    </row>
    <row r="17" customFormat="false" ht="15" hidden="false" customHeight="false" outlineLevel="0" collapsed="false">
      <c r="A17" s="23" t="n">
        <v>13</v>
      </c>
      <c r="B17" s="23" t="n">
        <v>6</v>
      </c>
      <c r="C17" s="23" t="n">
        <v>168</v>
      </c>
      <c r="D17" s="24" t="s">
        <v>57</v>
      </c>
      <c r="E17" s="24" t="s">
        <v>54</v>
      </c>
      <c r="F17" s="14" t="n">
        <v>350</v>
      </c>
    </row>
    <row r="18" customFormat="false" ht="15" hidden="false" customHeight="false" outlineLevel="0" collapsed="false">
      <c r="A18" s="25" t="n">
        <v>14</v>
      </c>
      <c r="B18" s="25" t="n">
        <v>5</v>
      </c>
      <c r="C18" s="25" t="n">
        <v>182</v>
      </c>
      <c r="D18" s="26" t="s">
        <v>58</v>
      </c>
      <c r="E18" s="26" t="s">
        <v>59</v>
      </c>
      <c r="F18" s="27" t="n">
        <v>250</v>
      </c>
    </row>
    <row r="19" customFormat="false" ht="15" hidden="false" customHeight="false" outlineLevel="0" collapsed="false">
      <c r="A19" s="23" t="n">
        <v>15</v>
      </c>
      <c r="B19" s="23" t="n">
        <v>4</v>
      </c>
      <c r="C19" s="23" t="n">
        <v>196</v>
      </c>
      <c r="D19" s="24" t="s">
        <v>45</v>
      </c>
      <c r="E19" s="24" t="s">
        <v>59</v>
      </c>
      <c r="F19" s="14" t="n">
        <v>170</v>
      </c>
    </row>
    <row r="20" customFormat="false" ht="15" hidden="false" customHeight="false" outlineLevel="0" collapsed="false">
      <c r="A20" s="25" t="n">
        <v>16</v>
      </c>
      <c r="B20" s="25" t="n">
        <v>3</v>
      </c>
      <c r="C20" s="25" t="n">
        <v>210</v>
      </c>
      <c r="D20" s="26" t="s">
        <v>45</v>
      </c>
      <c r="E20" s="26" t="s">
        <v>59</v>
      </c>
      <c r="F20" s="27" t="n">
        <v>90</v>
      </c>
    </row>
    <row r="21" customFormat="false" ht="15" hidden="false" customHeight="false" outlineLevel="0" collapsed="false">
      <c r="A21" s="23" t="n">
        <v>17</v>
      </c>
      <c r="B21" s="23" t="n">
        <v>2</v>
      </c>
      <c r="C21" s="23" t="n">
        <v>224</v>
      </c>
      <c r="D21" s="24" t="s">
        <v>45</v>
      </c>
      <c r="E21" s="24" t="s">
        <v>60</v>
      </c>
      <c r="F21" s="14" t="n">
        <v>0</v>
      </c>
    </row>
    <row r="24" customFormat="false" ht="27.75" hidden="false" customHeight="true" outlineLevel="0" collapsed="false">
      <c r="A24" s="22" t="s">
        <v>61</v>
      </c>
      <c r="B24" s="22" t="s">
        <v>62</v>
      </c>
      <c r="D24" s="2" t="s">
        <v>63</v>
      </c>
    </row>
    <row r="25" customFormat="false" ht="15" hidden="false" customHeight="false" outlineLevel="0" collapsed="false">
      <c r="A25" s="23" t="s">
        <v>64</v>
      </c>
      <c r="B25" s="23" t="n">
        <v>14</v>
      </c>
      <c r="D25" s="3" t="s">
        <v>65</v>
      </c>
    </row>
    <row r="26" customFormat="false" ht="15" hidden="false" customHeight="false" outlineLevel="0" collapsed="false">
      <c r="A26" s="23" t="s">
        <v>66</v>
      </c>
      <c r="B26" s="23" t="n">
        <v>11</v>
      </c>
    </row>
    <row r="27" customFormat="false" ht="15" hidden="false" customHeight="false" outlineLevel="0" collapsed="false">
      <c r="A27" s="23" t="s">
        <v>67</v>
      </c>
      <c r="B27" s="23" t="n">
        <v>13</v>
      </c>
    </row>
    <row r="28" customFormat="false" ht="15" hidden="false" customHeight="false" outlineLevel="0" collapsed="false">
      <c r="A28" s="23" t="s">
        <v>68</v>
      </c>
      <c r="B28" s="23" t="n">
        <v>7</v>
      </c>
    </row>
    <row r="29" customFormat="false" ht="15" hidden="false" customHeight="false" outlineLevel="0" collapsed="false">
      <c r="A29" s="23" t="s">
        <v>69</v>
      </c>
      <c r="B29" s="23" t="n">
        <v>5</v>
      </c>
    </row>
    <row r="30" customFormat="false" ht="15" hidden="false" customHeight="false" outlineLevel="0" collapsed="false">
      <c r="A30" s="23" t="s">
        <v>70</v>
      </c>
      <c r="B30" s="23" t="n">
        <v>10</v>
      </c>
    </row>
    <row r="31" customFormat="false" ht="15" hidden="false" customHeight="false" outlineLevel="0" collapsed="false">
      <c r="A31" s="23" t="s">
        <v>71</v>
      </c>
      <c r="B31" s="23" t="n">
        <v>6</v>
      </c>
    </row>
    <row r="32" customFormat="false" ht="15" hidden="false" customHeight="false" outlineLevel="0" collapsed="false">
      <c r="A32" s="23" t="s">
        <v>72</v>
      </c>
      <c r="B32" s="23" t="n">
        <v>11</v>
      </c>
    </row>
    <row r="33" customFormat="false" ht="15" hidden="false" customHeight="false" outlineLevel="0" collapsed="false">
      <c r="A33" s="23" t="s">
        <v>73</v>
      </c>
      <c r="B33" s="23" t="n">
        <v>14</v>
      </c>
    </row>
    <row r="34" customFormat="false" ht="15" hidden="false" customHeight="false" outlineLevel="0" collapsed="false">
      <c r="A34" s="23" t="s">
        <v>74</v>
      </c>
      <c r="B34" s="23" t="n">
        <v>10</v>
      </c>
    </row>
    <row r="35" customFormat="false" ht="15" hidden="false" customHeight="false" outlineLevel="0" collapsed="false">
      <c r="A35" s="23" t="s">
        <v>75</v>
      </c>
      <c r="B35" s="23" t="n">
        <v>6</v>
      </c>
    </row>
    <row r="36" customFormat="false" ht="15" hidden="false" customHeight="false" outlineLevel="0" collapsed="false">
      <c r="A36" s="23" t="s">
        <v>76</v>
      </c>
      <c r="B36" s="23" t="n">
        <v>11</v>
      </c>
    </row>
    <row r="37" customFormat="false" ht="15" hidden="false" customHeight="false" outlineLevel="0" collapsed="false">
      <c r="A37" s="23" t="s">
        <v>77</v>
      </c>
      <c r="B37" s="23" t="n">
        <v>8</v>
      </c>
    </row>
    <row r="38" customFormat="false" ht="15" hidden="false" customHeight="false" outlineLevel="0" collapsed="false">
      <c r="A38" s="23" t="s">
        <v>78</v>
      </c>
      <c r="B38" s="23" t="n">
        <v>13</v>
      </c>
    </row>
    <row r="39" customFormat="false" ht="15" hidden="false" customHeight="false" outlineLevel="0" collapsed="false">
      <c r="A39" s="23" t="s">
        <v>79</v>
      </c>
      <c r="B39" s="23" t="n">
        <v>7</v>
      </c>
    </row>
    <row r="40" customFormat="false" ht="15" hidden="false" customHeight="false" outlineLevel="0" collapsed="false">
      <c r="A40" s="23" t="s">
        <v>80</v>
      </c>
      <c r="B40" s="23" t="n">
        <v>5</v>
      </c>
    </row>
    <row r="41" customFormat="false" ht="15" hidden="false" customHeight="false" outlineLevel="0" collapsed="false">
      <c r="A41" s="23" t="s">
        <v>81</v>
      </c>
      <c r="B41" s="23" t="n">
        <v>7</v>
      </c>
    </row>
    <row r="42" customFormat="false" ht="15" hidden="false" customHeight="false" outlineLevel="0" collapsed="false">
      <c r="A42" s="23" t="s">
        <v>82</v>
      </c>
      <c r="B42" s="23" t="n">
        <v>11</v>
      </c>
    </row>
    <row r="43" customFormat="false" ht="15" hidden="false" customHeight="false" outlineLevel="0" collapsed="false">
      <c r="A43" s="23" t="s">
        <v>83</v>
      </c>
      <c r="B43" s="23" t="n">
        <v>13</v>
      </c>
    </row>
    <row r="44" customFormat="false" ht="15" hidden="false" customHeight="false" outlineLevel="0" collapsed="false">
      <c r="A44" s="23" t="s">
        <v>84</v>
      </c>
      <c r="B44" s="23" t="n">
        <v>6</v>
      </c>
    </row>
    <row r="45" customFormat="false" ht="15" hidden="false" customHeight="false" outlineLevel="0" collapsed="false">
      <c r="A45" s="23" t="s">
        <v>85</v>
      </c>
      <c r="B45" s="23" t="n">
        <v>6</v>
      </c>
    </row>
    <row r="46" customFormat="false" ht="15" hidden="false" customHeight="false" outlineLevel="0" collapsed="false">
      <c r="A46" s="23" t="s">
        <v>86</v>
      </c>
      <c r="B46" s="23" t="n">
        <v>11</v>
      </c>
    </row>
    <row r="47" customFormat="false" ht="15" hidden="false" customHeight="false" outlineLevel="0" collapsed="false">
      <c r="A47" s="23" t="s">
        <v>87</v>
      </c>
      <c r="B47" s="23" t="n">
        <v>8</v>
      </c>
    </row>
    <row r="48" customFormat="false" ht="15" hidden="false" customHeight="false" outlineLevel="0" collapsed="false">
      <c r="A48" s="23" t="s">
        <v>88</v>
      </c>
      <c r="B48" s="23" t="n">
        <v>8</v>
      </c>
    </row>
    <row r="49" customFormat="false" ht="15" hidden="false" customHeight="false" outlineLevel="0" collapsed="false">
      <c r="A49" s="23" t="s">
        <v>89</v>
      </c>
      <c r="B49" s="23" t="n">
        <v>13</v>
      </c>
    </row>
    <row r="50" customFormat="false" ht="15" hidden="false" customHeight="false" outlineLevel="0" collapsed="false">
      <c r="A50" s="23" t="s">
        <v>90</v>
      </c>
      <c r="B50" s="23" t="n">
        <v>10</v>
      </c>
    </row>
    <row r="51" customFormat="false" ht="15" hidden="false" customHeight="false" outlineLevel="0" collapsed="false">
      <c r="A51" s="23" t="s">
        <v>91</v>
      </c>
      <c r="B51" s="23" t="n">
        <v>9</v>
      </c>
    </row>
    <row r="52" customFormat="false" ht="15" hidden="false" customHeight="false" outlineLevel="0" collapsed="false">
      <c r="A52" s="23" t="s">
        <v>92</v>
      </c>
      <c r="B52" s="23" t="n">
        <v>11</v>
      </c>
    </row>
    <row r="53" customFormat="false" ht="15" hidden="false" customHeight="false" outlineLevel="0" collapsed="false">
      <c r="A53" s="23" t="s">
        <v>93</v>
      </c>
      <c r="B53" s="23" t="n">
        <v>8</v>
      </c>
    </row>
    <row r="54" customFormat="false" ht="15" hidden="false" customHeight="false" outlineLevel="0" collapsed="false">
      <c r="A54" s="23" t="s">
        <v>94</v>
      </c>
      <c r="B54" s="23" t="n">
        <v>10</v>
      </c>
    </row>
    <row r="55" customFormat="false" ht="15" hidden="false" customHeight="false" outlineLevel="0" collapsed="false">
      <c r="A55" s="23" t="s">
        <v>95</v>
      </c>
      <c r="B55" s="23" t="n">
        <v>9</v>
      </c>
    </row>
    <row r="56" customFormat="false" ht="15" hidden="false" customHeight="false" outlineLevel="0" collapsed="false">
      <c r="A56" s="23" t="s">
        <v>96</v>
      </c>
      <c r="B56" s="23" t="n">
        <v>7</v>
      </c>
    </row>
    <row r="60" customFormat="false" ht="27.75" hidden="false" customHeight="true" outlineLevel="0" collapsed="false">
      <c r="A60" s="22" t="s">
        <v>13</v>
      </c>
      <c r="B60" s="22" t="s">
        <v>97</v>
      </c>
      <c r="C60" s="22" t="s">
        <v>98</v>
      </c>
      <c r="D60" s="22" t="s">
        <v>99</v>
      </c>
      <c r="E60" s="22" t="s">
        <v>100</v>
      </c>
      <c r="F60" s="22" t="s">
        <v>101</v>
      </c>
    </row>
    <row r="61" customFormat="false" ht="15" hidden="false" customHeight="false" outlineLevel="0" collapsed="false">
      <c r="A61" s="13" t="s">
        <v>16</v>
      </c>
      <c r="B61" s="13" t="s">
        <v>102</v>
      </c>
      <c r="C61" s="14" t="n">
        <v>250</v>
      </c>
      <c r="D61" s="14" t="n">
        <v>200</v>
      </c>
      <c r="E61" s="14" t="n">
        <v>175</v>
      </c>
      <c r="F61" s="14" t="n">
        <v>9999</v>
      </c>
    </row>
    <row r="62" customFormat="false" ht="15" hidden="false" customHeight="false" outlineLevel="0" collapsed="false">
      <c r="A62" s="28" t="s">
        <v>18</v>
      </c>
      <c r="B62" s="28" t="s">
        <v>103</v>
      </c>
      <c r="C62" s="27" t="n">
        <v>75</v>
      </c>
      <c r="D62" s="27" t="n">
        <v>125</v>
      </c>
      <c r="E62" s="27" t="n">
        <v>150</v>
      </c>
      <c r="F62" s="27" t="n">
        <v>9999</v>
      </c>
    </row>
    <row r="63" customFormat="false" ht="15" hidden="false" customHeight="false" outlineLevel="0" collapsed="false">
      <c r="A63" s="13" t="s">
        <v>19</v>
      </c>
      <c r="B63" s="13" t="s">
        <v>104</v>
      </c>
      <c r="C63" s="14" t="n">
        <v>25</v>
      </c>
      <c r="D63" s="14" t="n">
        <v>40</v>
      </c>
      <c r="E63" s="14" t="n">
        <v>60</v>
      </c>
      <c r="F63" s="14" t="n">
        <v>9999</v>
      </c>
    </row>
    <row r="64" customFormat="false" ht="15" hidden="false" customHeight="false" outlineLevel="0" collapsed="false">
      <c r="A64" s="28" t="s">
        <v>21</v>
      </c>
      <c r="B64" s="28" t="s">
        <v>105</v>
      </c>
      <c r="C64" s="27" t="n">
        <v>8</v>
      </c>
      <c r="D64" s="27" t="n">
        <v>15</v>
      </c>
      <c r="E64" s="27" t="n">
        <v>25</v>
      </c>
      <c r="F64" s="27" t="n">
        <v>9999</v>
      </c>
    </row>
    <row r="65" customFormat="false" ht="15" hidden="false" customHeight="false" outlineLevel="0" collapsed="false">
      <c r="A65" s="13" t="s">
        <v>23</v>
      </c>
      <c r="B65" s="13" t="s">
        <v>106</v>
      </c>
      <c r="C65" s="14" t="n">
        <v>3</v>
      </c>
      <c r="D65" s="14" t="n">
        <v>5</v>
      </c>
      <c r="E65" s="14" t="n">
        <v>10</v>
      </c>
      <c r="F65" s="14" t="n">
        <v>15</v>
      </c>
    </row>
    <row r="67" customFormat="false" ht="15" hidden="false" customHeight="false" outlineLevel="0" collapsed="false">
      <c r="A67" s="3" t="s">
        <v>107</v>
      </c>
    </row>
    <row r="68" customFormat="false" ht="15" hidden="false" customHeight="false" outlineLevel="0" collapsed="false">
      <c r="A68" s="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2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27.75" hidden="false" customHeight="true" outlineLevel="0" collapsed="false">
      <c r="A4" s="22" t="s">
        <v>39</v>
      </c>
      <c r="B4" s="22" t="s">
        <v>111</v>
      </c>
      <c r="C4" s="22" t="s">
        <v>112</v>
      </c>
      <c r="D4" s="22" t="s">
        <v>13</v>
      </c>
      <c r="E4" s="22" t="s">
        <v>113</v>
      </c>
      <c r="F4" s="22" t="s">
        <v>114</v>
      </c>
      <c r="G4" s="22" t="s">
        <v>115</v>
      </c>
      <c r="H4" s="22" t="s">
        <v>116</v>
      </c>
      <c r="I4" s="22" t="s">
        <v>117</v>
      </c>
      <c r="J4" s="22" t="s">
        <v>118</v>
      </c>
    </row>
    <row r="5" customFormat="false" ht="15" hidden="false" customHeight="false" outlineLevel="0" collapsed="false">
      <c r="A5" s="7" t="n">
        <v>2</v>
      </c>
      <c r="B5" s="29" t="s">
        <v>119</v>
      </c>
      <c r="C5" s="7" t="s">
        <v>120</v>
      </c>
      <c r="D5" s="7" t="s">
        <v>19</v>
      </c>
      <c r="E5" s="30" t="n">
        <v>21</v>
      </c>
      <c r="F5" s="7" t="s">
        <v>121</v>
      </c>
      <c r="G5" s="14" t="n">
        <f aca="false">IF(OR($A5="",$D5=""),"",INDEX(Reference!$C$61:$F$65,MATCH($D5,Reference!$A$61:$A$65,0),IF($A5&lt;=4,1,IF($A5&lt;=9,2,IF($A5&lt;=13,3,4)))))</f>
        <v>25</v>
      </c>
      <c r="H5" s="23" t="str">
        <f aca="false">IF(OR($E5="",$G5=""),"",IF($E5&gt;$G5,"OVER","ok"))</f>
        <v>ok</v>
      </c>
      <c r="I5" s="14" t="n">
        <f aca="false">IF($A5="","",Dashboard!$B$5-SUMIFS($E$5:$E5,$F$5:$F5,"Y"))</f>
        <v>1000</v>
      </c>
      <c r="J5" s="31" t="s">
        <v>122</v>
      </c>
    </row>
    <row r="6" customFormat="false" ht="15" hidden="false" customHeight="false" outlineLevel="0" collapsed="false">
      <c r="A6" s="7"/>
      <c r="B6" s="29"/>
      <c r="C6" s="7"/>
      <c r="D6" s="7"/>
      <c r="E6" s="30"/>
      <c r="F6" s="7"/>
      <c r="G6" s="14" t="str">
        <f aca="false">IF(OR($A6="",$D6=""),"",INDEX(Reference!$C$61:$F$65,MATCH($D6,Reference!$A$61:$A$65,0),IF($A6&lt;=4,1,IF($A6&lt;=9,2,IF($A6&lt;=13,3,4)))))</f>
        <v/>
      </c>
      <c r="H6" s="23" t="str">
        <f aca="false">IF(OR($E6="",$G6=""),"",IF($E6&gt;$G6,"OVER","ok"))</f>
        <v/>
      </c>
      <c r="I6" s="14" t="str">
        <f aca="false">IF($A6="","",Dashboard!$B$5-SUMIFS($E$5:$E6,$F$5:$F6,"Y"))</f>
        <v/>
      </c>
      <c r="J6" s="32"/>
    </row>
    <row r="7" customFormat="false" ht="15" hidden="false" customHeight="false" outlineLevel="0" collapsed="false">
      <c r="A7" s="7"/>
      <c r="B7" s="29"/>
      <c r="C7" s="7"/>
      <c r="D7" s="7"/>
      <c r="E7" s="30"/>
      <c r="F7" s="7"/>
      <c r="G7" s="14" t="str">
        <f aca="false">IF(OR($A7="",$D7=""),"",INDEX(Reference!$C$61:$F$65,MATCH($D7,Reference!$A$61:$A$65,0),IF($A7&lt;=4,1,IF($A7&lt;=9,2,IF($A7&lt;=13,3,4)))))</f>
        <v/>
      </c>
      <c r="H7" s="23" t="str">
        <f aca="false">IF(OR($E7="",$G7=""),"",IF($E7&gt;$G7,"OVER","ok"))</f>
        <v/>
      </c>
      <c r="I7" s="14" t="str">
        <f aca="false">IF($A7="","",Dashboard!$B$5-SUMIFS($E$5:$E7,$F$5:$F7,"Y"))</f>
        <v/>
      </c>
      <c r="J7" s="32"/>
    </row>
    <row r="8" customFormat="false" ht="15" hidden="false" customHeight="false" outlineLevel="0" collapsed="false">
      <c r="A8" s="7"/>
      <c r="B8" s="29"/>
      <c r="C8" s="7"/>
      <c r="D8" s="7"/>
      <c r="E8" s="30"/>
      <c r="F8" s="7"/>
      <c r="G8" s="14" t="str">
        <f aca="false">IF(OR($A8="",$D8=""),"",INDEX(Reference!$C$61:$F$65,MATCH($D8,Reference!$A$61:$A$65,0),IF($A8&lt;=4,1,IF($A8&lt;=9,2,IF($A8&lt;=13,3,4)))))</f>
        <v/>
      </c>
      <c r="H8" s="23" t="str">
        <f aca="false">IF(OR($E8="",$G8=""),"",IF($E8&gt;$G8,"OVER","ok"))</f>
        <v/>
      </c>
      <c r="I8" s="14" t="str">
        <f aca="false">IF($A8="","",Dashboard!$B$5-SUMIFS($E$5:$E8,$F$5:$F8,"Y"))</f>
        <v/>
      </c>
      <c r="J8" s="32"/>
    </row>
    <row r="9" customFormat="false" ht="15" hidden="false" customHeight="false" outlineLevel="0" collapsed="false">
      <c r="A9" s="7"/>
      <c r="B9" s="29"/>
      <c r="C9" s="7"/>
      <c r="D9" s="7"/>
      <c r="E9" s="30"/>
      <c r="F9" s="7"/>
      <c r="G9" s="14" t="str">
        <f aca="false">IF(OR($A9="",$D9=""),"",INDEX(Reference!$C$61:$F$65,MATCH($D9,Reference!$A$61:$A$65,0),IF($A9&lt;=4,1,IF($A9&lt;=9,2,IF($A9&lt;=13,3,4)))))</f>
        <v/>
      </c>
      <c r="H9" s="23" t="str">
        <f aca="false">IF(OR($E9="",$G9=""),"",IF($E9&gt;$G9,"OVER","ok"))</f>
        <v/>
      </c>
      <c r="I9" s="14" t="str">
        <f aca="false">IF($A9="","",Dashboard!$B$5-SUMIFS($E$5:$E9,$F$5:$F9,"Y"))</f>
        <v/>
      </c>
      <c r="J9" s="32"/>
    </row>
    <row r="10" customFormat="false" ht="15" hidden="false" customHeight="false" outlineLevel="0" collapsed="false">
      <c r="A10" s="7"/>
      <c r="B10" s="29"/>
      <c r="C10" s="7"/>
      <c r="D10" s="7"/>
      <c r="E10" s="30"/>
      <c r="F10" s="7"/>
      <c r="G10" s="14" t="str">
        <f aca="false">IF(OR($A10="",$D10=""),"",INDEX(Reference!$C$61:$F$65,MATCH($D10,Reference!$A$61:$A$65,0),IF($A10&lt;=4,1,IF($A10&lt;=9,2,IF($A10&lt;=13,3,4)))))</f>
        <v/>
      </c>
      <c r="H10" s="23" t="str">
        <f aca="false">IF(OR($E10="",$G10=""),"",IF($E10&gt;$G10,"OVER","ok"))</f>
        <v/>
      </c>
      <c r="I10" s="14" t="str">
        <f aca="false">IF($A10="","",Dashboard!$B$5-SUMIFS($E$5:$E10,$F$5:$F10,"Y"))</f>
        <v/>
      </c>
      <c r="J10" s="32"/>
    </row>
    <row r="11" customFormat="false" ht="15" hidden="false" customHeight="false" outlineLevel="0" collapsed="false">
      <c r="A11" s="7"/>
      <c r="B11" s="29"/>
      <c r="C11" s="7"/>
      <c r="D11" s="7"/>
      <c r="E11" s="30"/>
      <c r="F11" s="7"/>
      <c r="G11" s="14" t="str">
        <f aca="false">IF(OR($A11="",$D11=""),"",INDEX(Reference!$C$61:$F$65,MATCH($D11,Reference!$A$61:$A$65,0),IF($A11&lt;=4,1,IF($A11&lt;=9,2,IF($A11&lt;=13,3,4)))))</f>
        <v/>
      </c>
      <c r="H11" s="23" t="str">
        <f aca="false">IF(OR($E11="",$G11=""),"",IF($E11&gt;$G11,"OVER","ok"))</f>
        <v/>
      </c>
      <c r="I11" s="14" t="str">
        <f aca="false">IF($A11="","",Dashboard!$B$5-SUMIFS($E$5:$E11,$F$5:$F11,"Y"))</f>
        <v/>
      </c>
      <c r="J11" s="32"/>
    </row>
    <row r="12" customFormat="false" ht="15" hidden="false" customHeight="false" outlineLevel="0" collapsed="false">
      <c r="A12" s="7"/>
      <c r="B12" s="29"/>
      <c r="C12" s="7"/>
      <c r="D12" s="7"/>
      <c r="E12" s="30"/>
      <c r="F12" s="7"/>
      <c r="G12" s="14" t="str">
        <f aca="false">IF(OR($A12="",$D12=""),"",INDEX(Reference!$C$61:$F$65,MATCH($D12,Reference!$A$61:$A$65,0),IF($A12&lt;=4,1,IF($A12&lt;=9,2,IF($A12&lt;=13,3,4)))))</f>
        <v/>
      </c>
      <c r="H12" s="23" t="str">
        <f aca="false">IF(OR($E12="",$G12=""),"",IF($E12&gt;$G12,"OVER","ok"))</f>
        <v/>
      </c>
      <c r="I12" s="14" t="str">
        <f aca="false">IF($A12="","",Dashboard!$B$5-SUMIFS($E$5:$E12,$F$5:$F12,"Y"))</f>
        <v/>
      </c>
      <c r="J12" s="32"/>
    </row>
    <row r="13" customFormat="false" ht="15" hidden="false" customHeight="false" outlineLevel="0" collapsed="false">
      <c r="A13" s="7"/>
      <c r="B13" s="29"/>
      <c r="C13" s="7"/>
      <c r="D13" s="7"/>
      <c r="E13" s="30"/>
      <c r="F13" s="7"/>
      <c r="G13" s="14" t="str">
        <f aca="false">IF(OR($A13="",$D13=""),"",INDEX(Reference!$C$61:$F$65,MATCH($D13,Reference!$A$61:$A$65,0),IF($A13&lt;=4,1,IF($A13&lt;=9,2,IF($A13&lt;=13,3,4)))))</f>
        <v/>
      </c>
      <c r="H13" s="23" t="str">
        <f aca="false">IF(OR($E13="",$G13=""),"",IF($E13&gt;$G13,"OVER","ok"))</f>
        <v/>
      </c>
      <c r="I13" s="14" t="str">
        <f aca="false">IF($A13="","",Dashboard!$B$5-SUMIFS($E$5:$E13,$F$5:$F13,"Y"))</f>
        <v/>
      </c>
      <c r="J13" s="32"/>
    </row>
    <row r="14" customFormat="false" ht="15" hidden="false" customHeight="false" outlineLevel="0" collapsed="false">
      <c r="A14" s="7"/>
      <c r="B14" s="29"/>
      <c r="C14" s="7"/>
      <c r="D14" s="7"/>
      <c r="E14" s="30"/>
      <c r="F14" s="7"/>
      <c r="G14" s="14" t="str">
        <f aca="false">IF(OR($A14="",$D14=""),"",INDEX(Reference!$C$61:$F$65,MATCH($D14,Reference!$A$61:$A$65,0),IF($A14&lt;=4,1,IF($A14&lt;=9,2,IF($A14&lt;=13,3,4)))))</f>
        <v/>
      </c>
      <c r="H14" s="23" t="str">
        <f aca="false">IF(OR($E14="",$G14=""),"",IF($E14&gt;$G14,"OVER","ok"))</f>
        <v/>
      </c>
      <c r="I14" s="14" t="str">
        <f aca="false">IF($A14="","",Dashboard!$B$5-SUMIFS($E$5:$E14,$F$5:$F14,"Y"))</f>
        <v/>
      </c>
      <c r="J14" s="32"/>
    </row>
    <row r="15" customFormat="false" ht="15" hidden="false" customHeight="false" outlineLevel="0" collapsed="false">
      <c r="A15" s="7"/>
      <c r="B15" s="29"/>
      <c r="C15" s="7"/>
      <c r="D15" s="7"/>
      <c r="E15" s="30"/>
      <c r="F15" s="7"/>
      <c r="G15" s="14" t="str">
        <f aca="false">IF(OR($A15="",$D15=""),"",INDEX(Reference!$C$61:$F$65,MATCH($D15,Reference!$A$61:$A$65,0),IF($A15&lt;=4,1,IF($A15&lt;=9,2,IF($A15&lt;=13,3,4)))))</f>
        <v/>
      </c>
      <c r="H15" s="23" t="str">
        <f aca="false">IF(OR($E15="",$G15=""),"",IF($E15&gt;$G15,"OVER","ok"))</f>
        <v/>
      </c>
      <c r="I15" s="14" t="str">
        <f aca="false">IF($A15="","",Dashboard!$B$5-SUMIFS($E$5:$E15,$F$5:$F15,"Y"))</f>
        <v/>
      </c>
      <c r="J15" s="32"/>
    </row>
    <row r="16" customFormat="false" ht="15" hidden="false" customHeight="false" outlineLevel="0" collapsed="false">
      <c r="A16" s="7"/>
      <c r="B16" s="29"/>
      <c r="C16" s="7"/>
      <c r="D16" s="7"/>
      <c r="E16" s="30"/>
      <c r="F16" s="7"/>
      <c r="G16" s="14" t="str">
        <f aca="false">IF(OR($A16="",$D16=""),"",INDEX(Reference!$C$61:$F$65,MATCH($D16,Reference!$A$61:$A$65,0),IF($A16&lt;=4,1,IF($A16&lt;=9,2,IF($A16&lt;=13,3,4)))))</f>
        <v/>
      </c>
      <c r="H16" s="23" t="str">
        <f aca="false">IF(OR($E16="",$G16=""),"",IF($E16&gt;$G16,"OVER","ok"))</f>
        <v/>
      </c>
      <c r="I16" s="14" t="str">
        <f aca="false">IF($A16="","",Dashboard!$B$5-SUMIFS($E$5:$E16,$F$5:$F16,"Y"))</f>
        <v/>
      </c>
      <c r="J16" s="32"/>
    </row>
    <row r="17" customFormat="false" ht="15" hidden="false" customHeight="false" outlineLevel="0" collapsed="false">
      <c r="A17" s="7"/>
      <c r="B17" s="29"/>
      <c r="C17" s="7"/>
      <c r="D17" s="7"/>
      <c r="E17" s="30"/>
      <c r="F17" s="7"/>
      <c r="G17" s="14" t="str">
        <f aca="false">IF(OR($A17="",$D17=""),"",INDEX(Reference!$C$61:$F$65,MATCH($D17,Reference!$A$61:$A$65,0),IF($A17&lt;=4,1,IF($A17&lt;=9,2,IF($A17&lt;=13,3,4)))))</f>
        <v/>
      </c>
      <c r="H17" s="23" t="str">
        <f aca="false">IF(OR($E17="",$G17=""),"",IF($E17&gt;$G17,"OVER","ok"))</f>
        <v/>
      </c>
      <c r="I17" s="14" t="str">
        <f aca="false">IF($A17="","",Dashboard!$B$5-SUMIFS($E$5:$E17,$F$5:$F17,"Y"))</f>
        <v/>
      </c>
      <c r="J17" s="32"/>
    </row>
    <row r="18" customFormat="false" ht="15" hidden="false" customHeight="false" outlineLevel="0" collapsed="false">
      <c r="A18" s="7"/>
      <c r="B18" s="29"/>
      <c r="C18" s="7"/>
      <c r="D18" s="7"/>
      <c r="E18" s="30"/>
      <c r="F18" s="7"/>
      <c r="G18" s="14" t="str">
        <f aca="false">IF(OR($A18="",$D18=""),"",INDEX(Reference!$C$61:$F$65,MATCH($D18,Reference!$A$61:$A$65,0),IF($A18&lt;=4,1,IF($A18&lt;=9,2,IF($A18&lt;=13,3,4)))))</f>
        <v/>
      </c>
      <c r="H18" s="23" t="str">
        <f aca="false">IF(OR($E18="",$G18=""),"",IF($E18&gt;$G18,"OVER","ok"))</f>
        <v/>
      </c>
      <c r="I18" s="14" t="str">
        <f aca="false">IF($A18="","",Dashboard!$B$5-SUMIFS($E$5:$E18,$F$5:$F18,"Y"))</f>
        <v/>
      </c>
      <c r="J18" s="32"/>
    </row>
    <row r="19" customFormat="false" ht="15" hidden="false" customHeight="false" outlineLevel="0" collapsed="false">
      <c r="A19" s="7"/>
      <c r="B19" s="29"/>
      <c r="C19" s="7"/>
      <c r="D19" s="7"/>
      <c r="E19" s="30"/>
      <c r="F19" s="7"/>
      <c r="G19" s="14" t="str">
        <f aca="false">IF(OR($A19="",$D19=""),"",INDEX(Reference!$C$61:$F$65,MATCH($D19,Reference!$A$61:$A$65,0),IF($A19&lt;=4,1,IF($A19&lt;=9,2,IF($A19&lt;=13,3,4)))))</f>
        <v/>
      </c>
      <c r="H19" s="23" t="str">
        <f aca="false">IF(OR($E19="",$G19=""),"",IF($E19&gt;$G19,"OVER","ok"))</f>
        <v/>
      </c>
      <c r="I19" s="14" t="str">
        <f aca="false">IF($A19="","",Dashboard!$B$5-SUMIFS($E$5:$E19,$F$5:$F19,"Y"))</f>
        <v/>
      </c>
      <c r="J19" s="32"/>
    </row>
    <row r="20" customFormat="false" ht="15" hidden="false" customHeight="false" outlineLevel="0" collapsed="false">
      <c r="A20" s="7"/>
      <c r="B20" s="29"/>
      <c r="C20" s="7"/>
      <c r="D20" s="7"/>
      <c r="E20" s="30"/>
      <c r="F20" s="7"/>
      <c r="G20" s="14" t="str">
        <f aca="false">IF(OR($A20="",$D20=""),"",INDEX(Reference!$C$61:$F$65,MATCH($D20,Reference!$A$61:$A$65,0),IF($A20&lt;=4,1,IF($A20&lt;=9,2,IF($A20&lt;=13,3,4)))))</f>
        <v/>
      </c>
      <c r="H20" s="23" t="str">
        <f aca="false">IF(OR($E20="",$G20=""),"",IF($E20&gt;$G20,"OVER","ok"))</f>
        <v/>
      </c>
      <c r="I20" s="14" t="str">
        <f aca="false">IF($A20="","",Dashboard!$B$5-SUMIFS($E$5:$E20,$F$5:$F20,"Y"))</f>
        <v/>
      </c>
      <c r="J20" s="32"/>
    </row>
    <row r="21" customFormat="false" ht="15" hidden="false" customHeight="false" outlineLevel="0" collapsed="false">
      <c r="A21" s="7"/>
      <c r="B21" s="29"/>
      <c r="C21" s="7"/>
      <c r="D21" s="7"/>
      <c r="E21" s="30"/>
      <c r="F21" s="7"/>
      <c r="G21" s="14" t="str">
        <f aca="false">IF(OR($A21="",$D21=""),"",INDEX(Reference!$C$61:$F$65,MATCH($D21,Reference!$A$61:$A$65,0),IF($A21&lt;=4,1,IF($A21&lt;=9,2,IF($A21&lt;=13,3,4)))))</f>
        <v/>
      </c>
      <c r="H21" s="23" t="str">
        <f aca="false">IF(OR($E21="",$G21=""),"",IF($E21&gt;$G21,"OVER","ok"))</f>
        <v/>
      </c>
      <c r="I21" s="14" t="str">
        <f aca="false">IF($A21="","",Dashboard!$B$5-SUMIFS($E$5:$E21,$F$5:$F21,"Y"))</f>
        <v/>
      </c>
      <c r="J21" s="32"/>
    </row>
    <row r="22" customFormat="false" ht="15" hidden="false" customHeight="false" outlineLevel="0" collapsed="false">
      <c r="A22" s="7"/>
      <c r="B22" s="29"/>
      <c r="C22" s="7"/>
      <c r="D22" s="7"/>
      <c r="E22" s="30"/>
      <c r="F22" s="7"/>
      <c r="G22" s="14" t="str">
        <f aca="false">IF(OR($A22="",$D22=""),"",INDEX(Reference!$C$61:$F$65,MATCH($D22,Reference!$A$61:$A$65,0),IF($A22&lt;=4,1,IF($A22&lt;=9,2,IF($A22&lt;=13,3,4)))))</f>
        <v/>
      </c>
      <c r="H22" s="23" t="str">
        <f aca="false">IF(OR($E22="",$G22=""),"",IF($E22&gt;$G22,"OVER","ok"))</f>
        <v/>
      </c>
      <c r="I22" s="14" t="str">
        <f aca="false">IF($A22="","",Dashboard!$B$5-SUMIFS($E$5:$E22,$F$5:$F22,"Y"))</f>
        <v/>
      </c>
      <c r="J22" s="32"/>
    </row>
    <row r="23" customFormat="false" ht="15" hidden="false" customHeight="false" outlineLevel="0" collapsed="false">
      <c r="A23" s="7"/>
      <c r="B23" s="29"/>
      <c r="C23" s="7"/>
      <c r="D23" s="7"/>
      <c r="E23" s="30"/>
      <c r="F23" s="7"/>
      <c r="G23" s="14" t="str">
        <f aca="false">IF(OR($A23="",$D23=""),"",INDEX(Reference!$C$61:$F$65,MATCH($D23,Reference!$A$61:$A$65,0),IF($A23&lt;=4,1,IF($A23&lt;=9,2,IF($A23&lt;=13,3,4)))))</f>
        <v/>
      </c>
      <c r="H23" s="23" t="str">
        <f aca="false">IF(OR($E23="",$G23=""),"",IF($E23&gt;$G23,"OVER","ok"))</f>
        <v/>
      </c>
      <c r="I23" s="14" t="str">
        <f aca="false">IF($A23="","",Dashboard!$B$5-SUMIFS($E$5:$E23,$F$5:$F23,"Y"))</f>
        <v/>
      </c>
      <c r="J23" s="32"/>
    </row>
    <row r="24" customFormat="false" ht="15" hidden="false" customHeight="false" outlineLevel="0" collapsed="false">
      <c r="A24" s="7"/>
      <c r="B24" s="29"/>
      <c r="C24" s="7"/>
      <c r="D24" s="7"/>
      <c r="E24" s="30"/>
      <c r="F24" s="7"/>
      <c r="G24" s="14" t="str">
        <f aca="false">IF(OR($A24="",$D24=""),"",INDEX(Reference!$C$61:$F$65,MATCH($D24,Reference!$A$61:$A$65,0),IF($A24&lt;=4,1,IF($A24&lt;=9,2,IF($A24&lt;=13,3,4)))))</f>
        <v/>
      </c>
      <c r="H24" s="23" t="str">
        <f aca="false">IF(OR($E24="",$G24=""),"",IF($E24&gt;$G24,"OVER","ok"))</f>
        <v/>
      </c>
      <c r="I24" s="14" t="str">
        <f aca="false">IF($A24="","",Dashboard!$B$5-SUMIFS($E$5:$E24,$F$5:$F24,"Y"))</f>
        <v/>
      </c>
      <c r="J24" s="32"/>
    </row>
    <row r="25" customFormat="false" ht="15" hidden="false" customHeight="false" outlineLevel="0" collapsed="false">
      <c r="A25" s="7"/>
      <c r="B25" s="29"/>
      <c r="C25" s="7"/>
      <c r="D25" s="7"/>
      <c r="E25" s="30"/>
      <c r="F25" s="7"/>
      <c r="G25" s="14" t="str">
        <f aca="false">IF(OR($A25="",$D25=""),"",INDEX(Reference!$C$61:$F$65,MATCH($D25,Reference!$A$61:$A$65,0),IF($A25&lt;=4,1,IF($A25&lt;=9,2,IF($A25&lt;=13,3,4)))))</f>
        <v/>
      </c>
      <c r="H25" s="23" t="str">
        <f aca="false">IF(OR($E25="",$G25=""),"",IF($E25&gt;$G25,"OVER","ok"))</f>
        <v/>
      </c>
      <c r="I25" s="14" t="str">
        <f aca="false">IF($A25="","",Dashboard!$B$5-SUMIFS($E$5:$E25,$F$5:$F25,"Y"))</f>
        <v/>
      </c>
      <c r="J25" s="32"/>
    </row>
    <row r="26" customFormat="false" ht="15" hidden="false" customHeight="false" outlineLevel="0" collapsed="false">
      <c r="A26" s="7"/>
      <c r="B26" s="29"/>
      <c r="C26" s="7"/>
      <c r="D26" s="7"/>
      <c r="E26" s="30"/>
      <c r="F26" s="7"/>
      <c r="G26" s="14" t="str">
        <f aca="false">IF(OR($A26="",$D26=""),"",INDEX(Reference!$C$61:$F$65,MATCH($D26,Reference!$A$61:$A$65,0),IF($A26&lt;=4,1,IF($A26&lt;=9,2,IF($A26&lt;=13,3,4)))))</f>
        <v/>
      </c>
      <c r="H26" s="23" t="str">
        <f aca="false">IF(OR($E26="",$G26=""),"",IF($E26&gt;$G26,"OVER","ok"))</f>
        <v/>
      </c>
      <c r="I26" s="14" t="str">
        <f aca="false">IF($A26="","",Dashboard!$B$5-SUMIFS($E$5:$E26,$F$5:$F26,"Y"))</f>
        <v/>
      </c>
      <c r="J26" s="32"/>
    </row>
    <row r="27" customFormat="false" ht="15" hidden="false" customHeight="false" outlineLevel="0" collapsed="false">
      <c r="A27" s="7"/>
      <c r="B27" s="29"/>
      <c r="C27" s="7"/>
      <c r="D27" s="7"/>
      <c r="E27" s="30"/>
      <c r="F27" s="7"/>
      <c r="G27" s="14" t="str">
        <f aca="false">IF(OR($A27="",$D27=""),"",INDEX(Reference!$C$61:$F$65,MATCH($D27,Reference!$A$61:$A$65,0),IF($A27&lt;=4,1,IF($A27&lt;=9,2,IF($A27&lt;=13,3,4)))))</f>
        <v/>
      </c>
      <c r="H27" s="23" t="str">
        <f aca="false">IF(OR($E27="",$G27=""),"",IF($E27&gt;$G27,"OVER","ok"))</f>
        <v/>
      </c>
      <c r="I27" s="14" t="str">
        <f aca="false">IF($A27="","",Dashboard!$B$5-SUMIFS($E$5:$E27,$F$5:$F27,"Y"))</f>
        <v/>
      </c>
      <c r="J27" s="32"/>
    </row>
    <row r="28" customFormat="false" ht="15" hidden="false" customHeight="false" outlineLevel="0" collapsed="false">
      <c r="A28" s="7"/>
      <c r="B28" s="29"/>
      <c r="C28" s="7"/>
      <c r="D28" s="7"/>
      <c r="E28" s="30"/>
      <c r="F28" s="7"/>
      <c r="G28" s="14" t="str">
        <f aca="false">IF(OR($A28="",$D28=""),"",INDEX(Reference!$C$61:$F$65,MATCH($D28,Reference!$A$61:$A$65,0),IF($A28&lt;=4,1,IF($A28&lt;=9,2,IF($A28&lt;=13,3,4)))))</f>
        <v/>
      </c>
      <c r="H28" s="23" t="str">
        <f aca="false">IF(OR($E28="",$G28=""),"",IF($E28&gt;$G28,"OVER","ok"))</f>
        <v/>
      </c>
      <c r="I28" s="14" t="str">
        <f aca="false">IF($A28="","",Dashboard!$B$5-SUMIFS($E$5:$E28,$F$5:$F28,"Y"))</f>
        <v/>
      </c>
      <c r="J28" s="32"/>
    </row>
    <row r="29" customFormat="false" ht="15" hidden="false" customHeight="false" outlineLevel="0" collapsed="false">
      <c r="A29" s="7"/>
      <c r="B29" s="29"/>
      <c r="C29" s="7"/>
      <c r="D29" s="7"/>
      <c r="E29" s="30"/>
      <c r="F29" s="7"/>
      <c r="G29" s="14" t="str">
        <f aca="false">IF(OR($A29="",$D29=""),"",INDEX(Reference!$C$61:$F$65,MATCH($D29,Reference!$A$61:$A$65,0),IF($A29&lt;=4,1,IF($A29&lt;=9,2,IF($A29&lt;=13,3,4)))))</f>
        <v/>
      </c>
      <c r="H29" s="23" t="str">
        <f aca="false">IF(OR($E29="",$G29=""),"",IF($E29&gt;$G29,"OVER","ok"))</f>
        <v/>
      </c>
      <c r="I29" s="14" t="str">
        <f aca="false">IF($A29="","",Dashboard!$B$5-SUMIFS($E$5:$E29,$F$5:$F29,"Y"))</f>
        <v/>
      </c>
      <c r="J29" s="32"/>
    </row>
    <row r="30" customFormat="false" ht="15" hidden="false" customHeight="false" outlineLevel="0" collapsed="false">
      <c r="A30" s="7"/>
      <c r="B30" s="29"/>
      <c r="C30" s="7"/>
      <c r="D30" s="7"/>
      <c r="E30" s="30"/>
      <c r="F30" s="7"/>
      <c r="G30" s="14" t="str">
        <f aca="false">IF(OR($A30="",$D30=""),"",INDEX(Reference!$C$61:$F$65,MATCH($D30,Reference!$A$61:$A$65,0),IF($A30&lt;=4,1,IF($A30&lt;=9,2,IF($A30&lt;=13,3,4)))))</f>
        <v/>
      </c>
      <c r="H30" s="23" t="str">
        <f aca="false">IF(OR($E30="",$G30=""),"",IF($E30&gt;$G30,"OVER","ok"))</f>
        <v/>
      </c>
      <c r="I30" s="14" t="str">
        <f aca="false">IF($A30="","",Dashboard!$B$5-SUMIFS($E$5:$E30,$F$5:$F30,"Y"))</f>
        <v/>
      </c>
      <c r="J30" s="32"/>
    </row>
    <row r="31" customFormat="false" ht="15" hidden="false" customHeight="false" outlineLevel="0" collapsed="false">
      <c r="A31" s="7"/>
      <c r="B31" s="29"/>
      <c r="C31" s="7"/>
      <c r="D31" s="7"/>
      <c r="E31" s="30"/>
      <c r="F31" s="7"/>
      <c r="G31" s="14" t="str">
        <f aca="false">IF(OR($A31="",$D31=""),"",INDEX(Reference!$C$61:$F$65,MATCH($D31,Reference!$A$61:$A$65,0),IF($A31&lt;=4,1,IF($A31&lt;=9,2,IF($A31&lt;=13,3,4)))))</f>
        <v/>
      </c>
      <c r="H31" s="23" t="str">
        <f aca="false">IF(OR($E31="",$G31=""),"",IF($E31&gt;$G31,"OVER","ok"))</f>
        <v/>
      </c>
      <c r="I31" s="14" t="str">
        <f aca="false">IF($A31="","",Dashboard!$B$5-SUMIFS($E$5:$E31,$F$5:$F31,"Y"))</f>
        <v/>
      </c>
      <c r="J31" s="32"/>
    </row>
    <row r="32" customFormat="false" ht="15" hidden="false" customHeight="false" outlineLevel="0" collapsed="false">
      <c r="A32" s="7"/>
      <c r="B32" s="29"/>
      <c r="C32" s="7"/>
      <c r="D32" s="7"/>
      <c r="E32" s="30"/>
      <c r="F32" s="7"/>
      <c r="G32" s="14" t="str">
        <f aca="false">IF(OR($A32="",$D32=""),"",INDEX(Reference!$C$61:$F$65,MATCH($D32,Reference!$A$61:$A$65,0),IF($A32&lt;=4,1,IF($A32&lt;=9,2,IF($A32&lt;=13,3,4)))))</f>
        <v/>
      </c>
      <c r="H32" s="23" t="str">
        <f aca="false">IF(OR($E32="",$G32=""),"",IF($E32&gt;$G32,"OVER","ok"))</f>
        <v/>
      </c>
      <c r="I32" s="14" t="str">
        <f aca="false">IF($A32="","",Dashboard!$B$5-SUMIFS($E$5:$E32,$F$5:$F32,"Y"))</f>
        <v/>
      </c>
      <c r="J32" s="32"/>
    </row>
    <row r="33" customFormat="false" ht="15" hidden="false" customHeight="false" outlineLevel="0" collapsed="false">
      <c r="A33" s="7"/>
      <c r="B33" s="29"/>
      <c r="C33" s="7"/>
      <c r="D33" s="7"/>
      <c r="E33" s="30"/>
      <c r="F33" s="7"/>
      <c r="G33" s="14" t="str">
        <f aca="false">IF(OR($A33="",$D33=""),"",INDEX(Reference!$C$61:$F$65,MATCH($D33,Reference!$A$61:$A$65,0),IF($A33&lt;=4,1,IF($A33&lt;=9,2,IF($A33&lt;=13,3,4)))))</f>
        <v/>
      </c>
      <c r="H33" s="23" t="str">
        <f aca="false">IF(OR($E33="",$G33=""),"",IF($E33&gt;$G33,"OVER","ok"))</f>
        <v/>
      </c>
      <c r="I33" s="14" t="str">
        <f aca="false">IF($A33="","",Dashboard!$B$5-SUMIFS($E$5:$E33,$F$5:$F33,"Y"))</f>
        <v/>
      </c>
      <c r="J33" s="32"/>
    </row>
    <row r="34" customFormat="false" ht="15" hidden="false" customHeight="false" outlineLevel="0" collapsed="false">
      <c r="A34" s="7"/>
      <c r="B34" s="29"/>
      <c r="C34" s="7"/>
      <c r="D34" s="7"/>
      <c r="E34" s="30"/>
      <c r="F34" s="7"/>
      <c r="G34" s="14" t="str">
        <f aca="false">IF(OR($A34="",$D34=""),"",INDEX(Reference!$C$61:$F$65,MATCH($D34,Reference!$A$61:$A$65,0),IF($A34&lt;=4,1,IF($A34&lt;=9,2,IF($A34&lt;=13,3,4)))))</f>
        <v/>
      </c>
      <c r="H34" s="23" t="str">
        <f aca="false">IF(OR($E34="",$G34=""),"",IF($E34&gt;$G34,"OVER","ok"))</f>
        <v/>
      </c>
      <c r="I34" s="14" t="str">
        <f aca="false">IF($A34="","",Dashboard!$B$5-SUMIFS($E$5:$E34,$F$5:$F34,"Y"))</f>
        <v/>
      </c>
      <c r="J34" s="32"/>
    </row>
    <row r="35" customFormat="false" ht="15" hidden="false" customHeight="false" outlineLevel="0" collapsed="false">
      <c r="A35" s="7"/>
      <c r="B35" s="29"/>
      <c r="C35" s="7"/>
      <c r="D35" s="7"/>
      <c r="E35" s="30"/>
      <c r="F35" s="7"/>
      <c r="G35" s="14" t="str">
        <f aca="false">IF(OR($A35="",$D35=""),"",INDEX(Reference!$C$61:$F$65,MATCH($D35,Reference!$A$61:$A$65,0),IF($A35&lt;=4,1,IF($A35&lt;=9,2,IF($A35&lt;=13,3,4)))))</f>
        <v/>
      </c>
      <c r="H35" s="23" t="str">
        <f aca="false">IF(OR($E35="",$G35=""),"",IF($E35&gt;$G35,"OVER","ok"))</f>
        <v/>
      </c>
      <c r="I35" s="14" t="str">
        <f aca="false">IF($A35="","",Dashboard!$B$5-SUMIFS($E$5:$E35,$F$5:$F35,"Y"))</f>
        <v/>
      </c>
      <c r="J35" s="32"/>
    </row>
    <row r="36" customFormat="false" ht="15" hidden="false" customHeight="false" outlineLevel="0" collapsed="false">
      <c r="A36" s="7"/>
      <c r="B36" s="29"/>
      <c r="C36" s="7"/>
      <c r="D36" s="7"/>
      <c r="E36" s="30"/>
      <c r="F36" s="7"/>
      <c r="G36" s="14" t="str">
        <f aca="false">IF(OR($A36="",$D36=""),"",INDEX(Reference!$C$61:$F$65,MATCH($D36,Reference!$A$61:$A$65,0),IF($A36&lt;=4,1,IF($A36&lt;=9,2,IF($A36&lt;=13,3,4)))))</f>
        <v/>
      </c>
      <c r="H36" s="23" t="str">
        <f aca="false">IF(OR($E36="",$G36=""),"",IF($E36&gt;$G36,"OVER","ok"))</f>
        <v/>
      </c>
      <c r="I36" s="14" t="str">
        <f aca="false">IF($A36="","",Dashboard!$B$5-SUMIFS($E$5:$E36,$F$5:$F36,"Y"))</f>
        <v/>
      </c>
      <c r="J36" s="32"/>
    </row>
    <row r="37" customFormat="false" ht="15" hidden="false" customHeight="false" outlineLevel="0" collapsed="false">
      <c r="A37" s="7"/>
      <c r="B37" s="29"/>
      <c r="C37" s="7"/>
      <c r="D37" s="7"/>
      <c r="E37" s="30"/>
      <c r="F37" s="7"/>
      <c r="G37" s="14" t="str">
        <f aca="false">IF(OR($A37="",$D37=""),"",INDEX(Reference!$C$61:$F$65,MATCH($D37,Reference!$A$61:$A$65,0),IF($A37&lt;=4,1,IF($A37&lt;=9,2,IF($A37&lt;=13,3,4)))))</f>
        <v/>
      </c>
      <c r="H37" s="23" t="str">
        <f aca="false">IF(OR($E37="",$G37=""),"",IF($E37&gt;$G37,"OVER","ok"))</f>
        <v/>
      </c>
      <c r="I37" s="14" t="str">
        <f aca="false">IF($A37="","",Dashboard!$B$5-SUMIFS($E$5:$E37,$F$5:$F37,"Y"))</f>
        <v/>
      </c>
      <c r="J37" s="32"/>
    </row>
    <row r="38" customFormat="false" ht="15" hidden="false" customHeight="false" outlineLevel="0" collapsed="false">
      <c r="A38" s="7"/>
      <c r="B38" s="29"/>
      <c r="C38" s="7"/>
      <c r="D38" s="7"/>
      <c r="E38" s="30"/>
      <c r="F38" s="7"/>
      <c r="G38" s="14" t="str">
        <f aca="false">IF(OR($A38="",$D38=""),"",INDEX(Reference!$C$61:$F$65,MATCH($D38,Reference!$A$61:$A$65,0),IF($A38&lt;=4,1,IF($A38&lt;=9,2,IF($A38&lt;=13,3,4)))))</f>
        <v/>
      </c>
      <c r="H38" s="23" t="str">
        <f aca="false">IF(OR($E38="",$G38=""),"",IF($E38&gt;$G38,"OVER","ok"))</f>
        <v/>
      </c>
      <c r="I38" s="14" t="str">
        <f aca="false">IF($A38="","",Dashboard!$B$5-SUMIFS($E$5:$E38,$F$5:$F38,"Y"))</f>
        <v/>
      </c>
      <c r="J38" s="32"/>
    </row>
    <row r="39" customFormat="false" ht="15" hidden="false" customHeight="false" outlineLevel="0" collapsed="false">
      <c r="A39" s="7"/>
      <c r="B39" s="29"/>
      <c r="C39" s="7"/>
      <c r="D39" s="7"/>
      <c r="E39" s="30"/>
      <c r="F39" s="7"/>
      <c r="G39" s="14" t="str">
        <f aca="false">IF(OR($A39="",$D39=""),"",INDEX(Reference!$C$61:$F$65,MATCH($D39,Reference!$A$61:$A$65,0),IF($A39&lt;=4,1,IF($A39&lt;=9,2,IF($A39&lt;=13,3,4)))))</f>
        <v/>
      </c>
      <c r="H39" s="23" t="str">
        <f aca="false">IF(OR($E39="",$G39=""),"",IF($E39&gt;$G39,"OVER","ok"))</f>
        <v/>
      </c>
      <c r="I39" s="14" t="str">
        <f aca="false">IF($A39="","",Dashboard!$B$5-SUMIFS($E$5:$E39,$F$5:$F39,"Y"))</f>
        <v/>
      </c>
      <c r="J39" s="32"/>
    </row>
    <row r="40" customFormat="false" ht="15" hidden="false" customHeight="false" outlineLevel="0" collapsed="false">
      <c r="A40" s="7"/>
      <c r="B40" s="29"/>
      <c r="C40" s="7"/>
      <c r="D40" s="7"/>
      <c r="E40" s="30"/>
      <c r="F40" s="7"/>
      <c r="G40" s="14" t="str">
        <f aca="false">IF(OR($A40="",$D40=""),"",INDEX(Reference!$C$61:$F$65,MATCH($D40,Reference!$A$61:$A$65,0),IF($A40&lt;=4,1,IF($A40&lt;=9,2,IF($A40&lt;=13,3,4)))))</f>
        <v/>
      </c>
      <c r="H40" s="23" t="str">
        <f aca="false">IF(OR($E40="",$G40=""),"",IF($E40&gt;$G40,"OVER","ok"))</f>
        <v/>
      </c>
      <c r="I40" s="14" t="str">
        <f aca="false">IF($A40="","",Dashboard!$B$5-SUMIFS($E$5:$E40,$F$5:$F40,"Y"))</f>
        <v/>
      </c>
      <c r="J40" s="32"/>
    </row>
    <row r="41" customFormat="false" ht="15" hidden="false" customHeight="false" outlineLevel="0" collapsed="false">
      <c r="A41" s="7"/>
      <c r="B41" s="29"/>
      <c r="C41" s="7"/>
      <c r="D41" s="7"/>
      <c r="E41" s="30"/>
      <c r="F41" s="7"/>
      <c r="G41" s="14" t="str">
        <f aca="false">IF(OR($A41="",$D41=""),"",INDEX(Reference!$C$61:$F$65,MATCH($D41,Reference!$A$61:$A$65,0),IF($A41&lt;=4,1,IF($A41&lt;=9,2,IF($A41&lt;=13,3,4)))))</f>
        <v/>
      </c>
      <c r="H41" s="23" t="str">
        <f aca="false">IF(OR($E41="",$G41=""),"",IF($E41&gt;$G41,"OVER","ok"))</f>
        <v/>
      </c>
      <c r="I41" s="14" t="str">
        <f aca="false">IF($A41="","",Dashboard!$B$5-SUMIFS($E$5:$E41,$F$5:$F41,"Y"))</f>
        <v/>
      </c>
      <c r="J41" s="32"/>
    </row>
    <row r="42" customFormat="false" ht="15" hidden="false" customHeight="false" outlineLevel="0" collapsed="false">
      <c r="A42" s="7"/>
      <c r="B42" s="29"/>
      <c r="C42" s="7"/>
      <c r="D42" s="7"/>
      <c r="E42" s="30"/>
      <c r="F42" s="7"/>
      <c r="G42" s="14" t="str">
        <f aca="false">IF(OR($A42="",$D42=""),"",INDEX(Reference!$C$61:$F$65,MATCH($D42,Reference!$A$61:$A$65,0),IF($A42&lt;=4,1,IF($A42&lt;=9,2,IF($A42&lt;=13,3,4)))))</f>
        <v/>
      </c>
      <c r="H42" s="23" t="str">
        <f aca="false">IF(OR($E42="",$G42=""),"",IF($E42&gt;$G42,"OVER","ok"))</f>
        <v/>
      </c>
      <c r="I42" s="14" t="str">
        <f aca="false">IF($A42="","",Dashboard!$B$5-SUMIFS($E$5:$E42,$F$5:$F42,"Y"))</f>
        <v/>
      </c>
      <c r="J42" s="32"/>
    </row>
    <row r="43" customFormat="false" ht="15" hidden="false" customHeight="false" outlineLevel="0" collapsed="false">
      <c r="A43" s="7"/>
      <c r="B43" s="29"/>
      <c r="C43" s="7"/>
      <c r="D43" s="7"/>
      <c r="E43" s="30"/>
      <c r="F43" s="7"/>
      <c r="G43" s="14" t="str">
        <f aca="false">IF(OR($A43="",$D43=""),"",INDEX(Reference!$C$61:$F$65,MATCH($D43,Reference!$A$61:$A$65,0),IF($A43&lt;=4,1,IF($A43&lt;=9,2,IF($A43&lt;=13,3,4)))))</f>
        <v/>
      </c>
      <c r="H43" s="23" t="str">
        <f aca="false">IF(OR($E43="",$G43=""),"",IF($E43&gt;$G43,"OVER","ok"))</f>
        <v/>
      </c>
      <c r="I43" s="14" t="str">
        <f aca="false">IF($A43="","",Dashboard!$B$5-SUMIFS($E$5:$E43,$F$5:$F43,"Y"))</f>
        <v/>
      </c>
      <c r="J43" s="32"/>
    </row>
    <row r="44" customFormat="false" ht="15" hidden="false" customHeight="false" outlineLevel="0" collapsed="false">
      <c r="A44" s="7"/>
      <c r="B44" s="29"/>
      <c r="C44" s="7"/>
      <c r="D44" s="7"/>
      <c r="E44" s="30"/>
      <c r="F44" s="7"/>
      <c r="G44" s="14" t="str">
        <f aca="false">IF(OR($A44="",$D44=""),"",INDEX(Reference!$C$61:$F$65,MATCH($D44,Reference!$A$61:$A$65,0),IF($A44&lt;=4,1,IF($A44&lt;=9,2,IF($A44&lt;=13,3,4)))))</f>
        <v/>
      </c>
      <c r="H44" s="23" t="str">
        <f aca="false">IF(OR($E44="",$G44=""),"",IF($E44&gt;$G44,"OVER","ok"))</f>
        <v/>
      </c>
      <c r="I44" s="14" t="str">
        <f aca="false">IF($A44="","",Dashboard!$B$5-SUMIFS($E$5:$E44,$F$5:$F44,"Y"))</f>
        <v/>
      </c>
      <c r="J44" s="32"/>
    </row>
    <row r="45" customFormat="false" ht="15" hidden="false" customHeight="false" outlineLevel="0" collapsed="false">
      <c r="A45" s="7"/>
      <c r="B45" s="29"/>
      <c r="C45" s="7"/>
      <c r="D45" s="7"/>
      <c r="E45" s="30"/>
      <c r="F45" s="7"/>
      <c r="G45" s="14" t="str">
        <f aca="false">IF(OR($A45="",$D45=""),"",INDEX(Reference!$C$61:$F$65,MATCH($D45,Reference!$A$61:$A$65,0),IF($A45&lt;=4,1,IF($A45&lt;=9,2,IF($A45&lt;=13,3,4)))))</f>
        <v/>
      </c>
      <c r="H45" s="23" t="str">
        <f aca="false">IF(OR($E45="",$G45=""),"",IF($E45&gt;$G45,"OVER","ok"))</f>
        <v/>
      </c>
      <c r="I45" s="14" t="str">
        <f aca="false">IF($A45="","",Dashboard!$B$5-SUMIFS($E$5:$E45,$F$5:$F45,"Y"))</f>
        <v/>
      </c>
      <c r="J45" s="32"/>
    </row>
    <row r="46" customFormat="false" ht="15" hidden="false" customHeight="false" outlineLevel="0" collapsed="false">
      <c r="A46" s="7"/>
      <c r="B46" s="29"/>
      <c r="C46" s="7"/>
      <c r="D46" s="7"/>
      <c r="E46" s="30"/>
      <c r="F46" s="7"/>
      <c r="G46" s="14" t="str">
        <f aca="false">IF(OR($A46="",$D46=""),"",INDEX(Reference!$C$61:$F$65,MATCH($D46,Reference!$A$61:$A$65,0),IF($A46&lt;=4,1,IF($A46&lt;=9,2,IF($A46&lt;=13,3,4)))))</f>
        <v/>
      </c>
      <c r="H46" s="23" t="str">
        <f aca="false">IF(OR($E46="",$G46=""),"",IF($E46&gt;$G46,"OVER","ok"))</f>
        <v/>
      </c>
      <c r="I46" s="14" t="str">
        <f aca="false">IF($A46="","",Dashboard!$B$5-SUMIFS($E$5:$E46,$F$5:$F46,"Y"))</f>
        <v/>
      </c>
      <c r="J46" s="32"/>
    </row>
    <row r="47" customFormat="false" ht="15" hidden="false" customHeight="false" outlineLevel="0" collapsed="false">
      <c r="A47" s="7"/>
      <c r="B47" s="29"/>
      <c r="C47" s="7"/>
      <c r="D47" s="7"/>
      <c r="E47" s="30"/>
      <c r="F47" s="7"/>
      <c r="G47" s="14" t="str">
        <f aca="false">IF(OR($A47="",$D47=""),"",INDEX(Reference!$C$61:$F$65,MATCH($D47,Reference!$A$61:$A$65,0),IF($A47&lt;=4,1,IF($A47&lt;=9,2,IF($A47&lt;=13,3,4)))))</f>
        <v/>
      </c>
      <c r="H47" s="23" t="str">
        <f aca="false">IF(OR($E47="",$G47=""),"",IF($E47&gt;$G47,"OVER","ok"))</f>
        <v/>
      </c>
      <c r="I47" s="14" t="str">
        <f aca="false">IF($A47="","",Dashboard!$B$5-SUMIFS($E$5:$E47,$F$5:$F47,"Y"))</f>
        <v/>
      </c>
      <c r="J47" s="32"/>
    </row>
    <row r="48" customFormat="false" ht="15" hidden="false" customHeight="false" outlineLevel="0" collapsed="false">
      <c r="A48" s="7"/>
      <c r="B48" s="29"/>
      <c r="C48" s="7"/>
      <c r="D48" s="7"/>
      <c r="E48" s="30"/>
      <c r="F48" s="7"/>
      <c r="G48" s="14" t="str">
        <f aca="false">IF(OR($A48="",$D48=""),"",INDEX(Reference!$C$61:$F$65,MATCH($D48,Reference!$A$61:$A$65,0),IF($A48&lt;=4,1,IF($A48&lt;=9,2,IF($A48&lt;=13,3,4)))))</f>
        <v/>
      </c>
      <c r="H48" s="23" t="str">
        <f aca="false">IF(OR($E48="",$G48=""),"",IF($E48&gt;$G48,"OVER","ok"))</f>
        <v/>
      </c>
      <c r="I48" s="14" t="str">
        <f aca="false">IF($A48="","",Dashboard!$B$5-SUMIFS($E$5:$E48,$F$5:$F48,"Y"))</f>
        <v/>
      </c>
      <c r="J48" s="32"/>
    </row>
    <row r="49" customFormat="false" ht="15" hidden="false" customHeight="false" outlineLevel="0" collapsed="false">
      <c r="A49" s="7"/>
      <c r="B49" s="29"/>
      <c r="C49" s="7"/>
      <c r="D49" s="7"/>
      <c r="E49" s="30"/>
      <c r="F49" s="7"/>
      <c r="G49" s="14" t="str">
        <f aca="false">IF(OR($A49="",$D49=""),"",INDEX(Reference!$C$61:$F$65,MATCH($D49,Reference!$A$61:$A$65,0),IF($A49&lt;=4,1,IF($A49&lt;=9,2,IF($A49&lt;=13,3,4)))))</f>
        <v/>
      </c>
      <c r="H49" s="23" t="str">
        <f aca="false">IF(OR($E49="",$G49=""),"",IF($E49&gt;$G49,"OVER","ok"))</f>
        <v/>
      </c>
      <c r="I49" s="14" t="str">
        <f aca="false">IF($A49="","",Dashboard!$B$5-SUMIFS($E$5:$E49,$F$5:$F49,"Y"))</f>
        <v/>
      </c>
      <c r="J49" s="32"/>
    </row>
    <row r="50" customFormat="false" ht="15" hidden="false" customHeight="false" outlineLevel="0" collapsed="false">
      <c r="A50" s="7"/>
      <c r="B50" s="29"/>
      <c r="C50" s="7"/>
      <c r="D50" s="7"/>
      <c r="E50" s="30"/>
      <c r="F50" s="7"/>
      <c r="G50" s="14" t="str">
        <f aca="false">IF(OR($A50="",$D50=""),"",INDEX(Reference!$C$61:$F$65,MATCH($D50,Reference!$A$61:$A$65,0),IF($A50&lt;=4,1,IF($A50&lt;=9,2,IF($A50&lt;=13,3,4)))))</f>
        <v/>
      </c>
      <c r="H50" s="23" t="str">
        <f aca="false">IF(OR($E50="",$G50=""),"",IF($E50&gt;$G50,"OVER","ok"))</f>
        <v/>
      </c>
      <c r="I50" s="14" t="str">
        <f aca="false">IF($A50="","",Dashboard!$B$5-SUMIFS($E$5:$E50,$F$5:$F50,"Y"))</f>
        <v/>
      </c>
      <c r="J50" s="32"/>
    </row>
    <row r="51" customFormat="false" ht="15" hidden="false" customHeight="false" outlineLevel="0" collapsed="false">
      <c r="A51" s="7"/>
      <c r="B51" s="29"/>
      <c r="C51" s="7"/>
      <c r="D51" s="7"/>
      <c r="E51" s="30"/>
      <c r="F51" s="7"/>
      <c r="G51" s="14" t="str">
        <f aca="false">IF(OR($A51="",$D51=""),"",INDEX(Reference!$C$61:$F$65,MATCH($D51,Reference!$A$61:$A$65,0),IF($A51&lt;=4,1,IF($A51&lt;=9,2,IF($A51&lt;=13,3,4)))))</f>
        <v/>
      </c>
      <c r="H51" s="23" t="str">
        <f aca="false">IF(OR($E51="",$G51=""),"",IF($E51&gt;$G51,"OVER","ok"))</f>
        <v/>
      </c>
      <c r="I51" s="14" t="str">
        <f aca="false">IF($A51="","",Dashboard!$B$5-SUMIFS($E$5:$E51,$F$5:$F51,"Y"))</f>
        <v/>
      </c>
      <c r="J51" s="32"/>
    </row>
    <row r="52" customFormat="false" ht="15" hidden="false" customHeight="false" outlineLevel="0" collapsed="false">
      <c r="A52" s="7"/>
      <c r="B52" s="29"/>
      <c r="C52" s="7"/>
      <c r="D52" s="7"/>
      <c r="E52" s="30"/>
      <c r="F52" s="7"/>
      <c r="G52" s="14" t="str">
        <f aca="false">IF(OR($A52="",$D52=""),"",INDEX(Reference!$C$61:$F$65,MATCH($D52,Reference!$A$61:$A$65,0),IF($A52&lt;=4,1,IF($A52&lt;=9,2,IF($A52&lt;=13,3,4)))))</f>
        <v/>
      </c>
      <c r="H52" s="23" t="str">
        <f aca="false">IF(OR($E52="",$G52=""),"",IF($E52&gt;$G52,"OVER","ok"))</f>
        <v/>
      </c>
      <c r="I52" s="14" t="str">
        <f aca="false">IF($A52="","",Dashboard!$B$5-SUMIFS($E$5:$E52,$F$5:$F52,"Y"))</f>
        <v/>
      </c>
      <c r="J52" s="32"/>
    </row>
    <row r="53" customFormat="false" ht="15" hidden="false" customHeight="false" outlineLevel="0" collapsed="false">
      <c r="A53" s="7"/>
      <c r="B53" s="29"/>
      <c r="C53" s="7"/>
      <c r="D53" s="7"/>
      <c r="E53" s="30"/>
      <c r="F53" s="7"/>
      <c r="G53" s="14" t="str">
        <f aca="false">IF(OR($A53="",$D53=""),"",INDEX(Reference!$C$61:$F$65,MATCH($D53,Reference!$A$61:$A$65,0),IF($A53&lt;=4,1,IF($A53&lt;=9,2,IF($A53&lt;=13,3,4)))))</f>
        <v/>
      </c>
      <c r="H53" s="23" t="str">
        <f aca="false">IF(OR($E53="",$G53=""),"",IF($E53&gt;$G53,"OVER","ok"))</f>
        <v/>
      </c>
      <c r="I53" s="14" t="str">
        <f aca="false">IF($A53="","",Dashboard!$B$5-SUMIFS($E$5:$E53,$F$5:$F53,"Y"))</f>
        <v/>
      </c>
      <c r="J53" s="32"/>
    </row>
    <row r="54" customFormat="false" ht="15" hidden="false" customHeight="false" outlineLevel="0" collapsed="false">
      <c r="A54" s="7"/>
      <c r="B54" s="29"/>
      <c r="C54" s="7"/>
      <c r="D54" s="7"/>
      <c r="E54" s="30"/>
      <c r="F54" s="7"/>
      <c r="G54" s="14" t="str">
        <f aca="false">IF(OR($A54="",$D54=""),"",INDEX(Reference!$C$61:$F$65,MATCH($D54,Reference!$A$61:$A$65,0),IF($A54&lt;=4,1,IF($A54&lt;=9,2,IF($A54&lt;=13,3,4)))))</f>
        <v/>
      </c>
      <c r="H54" s="23" t="str">
        <f aca="false">IF(OR($E54="",$G54=""),"",IF($E54&gt;$G54,"OVER","ok"))</f>
        <v/>
      </c>
      <c r="I54" s="14" t="str">
        <f aca="false">IF($A54="","",Dashboard!$B$5-SUMIFS($E$5:$E54,$F$5:$F54,"Y"))</f>
        <v/>
      </c>
      <c r="J54" s="32"/>
    </row>
    <row r="55" customFormat="false" ht="15" hidden="false" customHeight="false" outlineLevel="0" collapsed="false">
      <c r="A55" s="7"/>
      <c r="B55" s="29"/>
      <c r="C55" s="7"/>
      <c r="D55" s="7"/>
      <c r="E55" s="30"/>
      <c r="F55" s="7"/>
      <c r="G55" s="14" t="str">
        <f aca="false">IF(OR($A55="",$D55=""),"",INDEX(Reference!$C$61:$F$65,MATCH($D55,Reference!$A$61:$A$65,0),IF($A55&lt;=4,1,IF($A55&lt;=9,2,IF($A55&lt;=13,3,4)))))</f>
        <v/>
      </c>
      <c r="H55" s="23" t="str">
        <f aca="false">IF(OR($E55="",$G55=""),"",IF($E55&gt;$G55,"OVER","ok"))</f>
        <v/>
      </c>
      <c r="I55" s="14" t="str">
        <f aca="false">IF($A55="","",Dashboard!$B$5-SUMIFS($E$5:$E55,$F$5:$F55,"Y"))</f>
        <v/>
      </c>
      <c r="J55" s="32"/>
    </row>
    <row r="56" customFormat="false" ht="15" hidden="false" customHeight="false" outlineLevel="0" collapsed="false">
      <c r="A56" s="7"/>
      <c r="B56" s="29"/>
      <c r="C56" s="7"/>
      <c r="D56" s="7"/>
      <c r="E56" s="30"/>
      <c r="F56" s="7"/>
      <c r="G56" s="14" t="str">
        <f aca="false">IF(OR($A56="",$D56=""),"",INDEX(Reference!$C$61:$F$65,MATCH($D56,Reference!$A$61:$A$65,0),IF($A56&lt;=4,1,IF($A56&lt;=9,2,IF($A56&lt;=13,3,4)))))</f>
        <v/>
      </c>
      <c r="H56" s="23" t="str">
        <f aca="false">IF(OR($E56="",$G56=""),"",IF($E56&gt;$G56,"OVER","ok"))</f>
        <v/>
      </c>
      <c r="I56" s="14" t="str">
        <f aca="false">IF($A56="","",Dashboard!$B$5-SUMIFS($E$5:$E56,$F$5:$F56,"Y"))</f>
        <v/>
      </c>
      <c r="J56" s="32"/>
    </row>
    <row r="57" customFormat="false" ht="15" hidden="false" customHeight="false" outlineLevel="0" collapsed="false">
      <c r="A57" s="7"/>
      <c r="B57" s="29"/>
      <c r="C57" s="7"/>
      <c r="D57" s="7"/>
      <c r="E57" s="30"/>
      <c r="F57" s="7"/>
      <c r="G57" s="14" t="str">
        <f aca="false">IF(OR($A57="",$D57=""),"",INDEX(Reference!$C$61:$F$65,MATCH($D57,Reference!$A$61:$A$65,0),IF($A57&lt;=4,1,IF($A57&lt;=9,2,IF($A57&lt;=13,3,4)))))</f>
        <v/>
      </c>
      <c r="H57" s="23" t="str">
        <f aca="false">IF(OR($E57="",$G57=""),"",IF($E57&gt;$G57,"OVER","ok"))</f>
        <v/>
      </c>
      <c r="I57" s="14" t="str">
        <f aca="false">IF($A57="","",Dashboard!$B$5-SUMIFS($E$5:$E57,$F$5:$F57,"Y"))</f>
        <v/>
      </c>
      <c r="J57" s="32"/>
    </row>
    <row r="58" customFormat="false" ht="15" hidden="false" customHeight="false" outlineLevel="0" collapsed="false">
      <c r="A58" s="7"/>
      <c r="B58" s="29"/>
      <c r="C58" s="7"/>
      <c r="D58" s="7"/>
      <c r="E58" s="30"/>
      <c r="F58" s="7"/>
      <c r="G58" s="14" t="str">
        <f aca="false">IF(OR($A58="",$D58=""),"",INDEX(Reference!$C$61:$F$65,MATCH($D58,Reference!$A$61:$A$65,0),IF($A58&lt;=4,1,IF($A58&lt;=9,2,IF($A58&lt;=13,3,4)))))</f>
        <v/>
      </c>
      <c r="H58" s="23" t="str">
        <f aca="false">IF(OR($E58="",$G58=""),"",IF($E58&gt;$G58,"OVER","ok"))</f>
        <v/>
      </c>
      <c r="I58" s="14" t="str">
        <f aca="false">IF($A58="","",Dashboard!$B$5-SUMIFS($E$5:$E58,$F$5:$F58,"Y"))</f>
        <v/>
      </c>
      <c r="J58" s="32"/>
    </row>
    <row r="59" customFormat="false" ht="15" hidden="false" customHeight="false" outlineLevel="0" collapsed="false">
      <c r="A59" s="7"/>
      <c r="B59" s="29"/>
      <c r="C59" s="7"/>
      <c r="D59" s="7"/>
      <c r="E59" s="30"/>
      <c r="F59" s="7"/>
      <c r="G59" s="14" t="str">
        <f aca="false">IF(OR($A59="",$D59=""),"",INDEX(Reference!$C$61:$F$65,MATCH($D59,Reference!$A$61:$A$65,0),IF($A59&lt;=4,1,IF($A59&lt;=9,2,IF($A59&lt;=13,3,4)))))</f>
        <v/>
      </c>
      <c r="H59" s="23" t="str">
        <f aca="false">IF(OR($E59="",$G59=""),"",IF($E59&gt;$G59,"OVER","ok"))</f>
        <v/>
      </c>
      <c r="I59" s="14" t="str">
        <f aca="false">IF($A59="","",Dashboard!$B$5-SUMIFS($E$5:$E59,$F$5:$F59,"Y"))</f>
        <v/>
      </c>
      <c r="J59" s="32"/>
    </row>
    <row r="60" customFormat="false" ht="15" hidden="false" customHeight="false" outlineLevel="0" collapsed="false">
      <c r="A60" s="7"/>
      <c r="B60" s="29"/>
      <c r="C60" s="7"/>
      <c r="D60" s="7"/>
      <c r="E60" s="30"/>
      <c r="F60" s="7"/>
      <c r="G60" s="14" t="str">
        <f aca="false">IF(OR($A60="",$D60=""),"",INDEX(Reference!$C$61:$F$65,MATCH($D60,Reference!$A$61:$A$65,0),IF($A60&lt;=4,1,IF($A60&lt;=9,2,IF($A60&lt;=13,3,4)))))</f>
        <v/>
      </c>
      <c r="H60" s="23" t="str">
        <f aca="false">IF(OR($E60="",$G60=""),"",IF($E60&gt;$G60,"OVER","ok"))</f>
        <v/>
      </c>
      <c r="I60" s="14" t="str">
        <f aca="false">IF($A60="","",Dashboard!$B$5-SUMIFS($E$5:$E60,$F$5:$F60,"Y"))</f>
        <v/>
      </c>
      <c r="J60" s="32"/>
    </row>
    <row r="61" customFormat="false" ht="15" hidden="false" customHeight="false" outlineLevel="0" collapsed="false">
      <c r="A61" s="7"/>
      <c r="B61" s="29"/>
      <c r="C61" s="7"/>
      <c r="D61" s="7"/>
      <c r="E61" s="30"/>
      <c r="F61" s="7"/>
      <c r="G61" s="14" t="str">
        <f aca="false">IF(OR($A61="",$D61=""),"",INDEX(Reference!$C$61:$F$65,MATCH($D61,Reference!$A$61:$A$65,0),IF($A61&lt;=4,1,IF($A61&lt;=9,2,IF($A61&lt;=13,3,4)))))</f>
        <v/>
      </c>
      <c r="H61" s="23" t="str">
        <f aca="false">IF(OR($E61="",$G61=""),"",IF($E61&gt;$G61,"OVER","ok"))</f>
        <v/>
      </c>
      <c r="I61" s="14" t="str">
        <f aca="false">IF($A61="","",Dashboard!$B$5-SUMIFS($E$5:$E61,$F$5:$F61,"Y"))</f>
        <v/>
      </c>
      <c r="J61" s="32"/>
    </row>
    <row r="62" customFormat="false" ht="15" hidden="false" customHeight="false" outlineLevel="0" collapsed="false">
      <c r="A62" s="7"/>
      <c r="B62" s="29"/>
      <c r="C62" s="7"/>
      <c r="D62" s="7"/>
      <c r="E62" s="30"/>
      <c r="F62" s="7"/>
      <c r="G62" s="14" t="str">
        <f aca="false">IF(OR($A62="",$D62=""),"",INDEX(Reference!$C$61:$F$65,MATCH($D62,Reference!$A$61:$A$65,0),IF($A62&lt;=4,1,IF($A62&lt;=9,2,IF($A62&lt;=13,3,4)))))</f>
        <v/>
      </c>
      <c r="H62" s="23" t="str">
        <f aca="false">IF(OR($E62="",$G62=""),"",IF($E62&gt;$G62,"OVER","ok"))</f>
        <v/>
      </c>
      <c r="I62" s="14" t="str">
        <f aca="false">IF($A62="","",Dashboard!$B$5-SUMIFS($E$5:$E62,$F$5:$F62,"Y"))</f>
        <v/>
      </c>
      <c r="J62" s="32"/>
    </row>
    <row r="63" customFormat="false" ht="15" hidden="false" customHeight="false" outlineLevel="0" collapsed="false">
      <c r="A63" s="7"/>
      <c r="B63" s="29"/>
      <c r="C63" s="7"/>
      <c r="D63" s="7"/>
      <c r="E63" s="30"/>
      <c r="F63" s="7"/>
      <c r="G63" s="14" t="str">
        <f aca="false">IF(OR($A63="",$D63=""),"",INDEX(Reference!$C$61:$F$65,MATCH($D63,Reference!$A$61:$A$65,0),IF($A63&lt;=4,1,IF($A63&lt;=9,2,IF($A63&lt;=13,3,4)))))</f>
        <v/>
      </c>
      <c r="H63" s="23" t="str">
        <f aca="false">IF(OR($E63="",$G63=""),"",IF($E63&gt;$G63,"OVER","ok"))</f>
        <v/>
      </c>
      <c r="I63" s="14" t="str">
        <f aca="false">IF($A63="","",Dashboard!$B$5-SUMIFS($E$5:$E63,$F$5:$F63,"Y"))</f>
        <v/>
      </c>
      <c r="J63" s="32"/>
    </row>
    <row r="64" customFormat="false" ht="15" hidden="false" customHeight="false" outlineLevel="0" collapsed="false">
      <c r="A64" s="7"/>
      <c r="B64" s="29"/>
      <c r="C64" s="7"/>
      <c r="D64" s="7"/>
      <c r="E64" s="30"/>
      <c r="F64" s="7"/>
      <c r="G64" s="14" t="str">
        <f aca="false">IF(OR($A64="",$D64=""),"",INDEX(Reference!$C$61:$F$65,MATCH($D64,Reference!$A$61:$A$65,0),IF($A64&lt;=4,1,IF($A64&lt;=9,2,IF($A64&lt;=13,3,4)))))</f>
        <v/>
      </c>
      <c r="H64" s="23" t="str">
        <f aca="false">IF(OR($E64="",$G64=""),"",IF($E64&gt;$G64,"OVER","ok"))</f>
        <v/>
      </c>
      <c r="I64" s="14" t="str">
        <f aca="false">IF($A64="","",Dashboard!$B$5-SUMIFS($E$5:$E64,$F$5:$F64,"Y"))</f>
        <v/>
      </c>
      <c r="J64" s="32"/>
    </row>
    <row r="65" customFormat="false" ht="15" hidden="false" customHeight="false" outlineLevel="0" collapsed="false">
      <c r="A65" s="7"/>
      <c r="B65" s="29"/>
      <c r="C65" s="7"/>
      <c r="D65" s="7"/>
      <c r="E65" s="30"/>
      <c r="F65" s="7"/>
      <c r="G65" s="14" t="str">
        <f aca="false">IF(OR($A65="",$D65=""),"",INDEX(Reference!$C$61:$F$65,MATCH($D65,Reference!$A$61:$A$65,0),IF($A65&lt;=4,1,IF($A65&lt;=9,2,IF($A65&lt;=13,3,4)))))</f>
        <v/>
      </c>
      <c r="H65" s="23" t="str">
        <f aca="false">IF(OR($E65="",$G65=""),"",IF($E65&gt;$G65,"OVER","ok"))</f>
        <v/>
      </c>
      <c r="I65" s="14" t="str">
        <f aca="false">IF($A65="","",Dashboard!$B$5-SUMIFS($E$5:$E65,$F$5:$F65,"Y"))</f>
        <v/>
      </c>
      <c r="J65" s="32"/>
    </row>
    <row r="66" customFormat="false" ht="15" hidden="false" customHeight="false" outlineLevel="0" collapsed="false">
      <c r="A66" s="7"/>
      <c r="B66" s="29"/>
      <c r="C66" s="7"/>
      <c r="D66" s="7"/>
      <c r="E66" s="30"/>
      <c r="F66" s="7"/>
      <c r="G66" s="14" t="str">
        <f aca="false">IF(OR($A66="",$D66=""),"",INDEX(Reference!$C$61:$F$65,MATCH($D66,Reference!$A$61:$A$65,0),IF($A66&lt;=4,1,IF($A66&lt;=9,2,IF($A66&lt;=13,3,4)))))</f>
        <v/>
      </c>
      <c r="H66" s="23" t="str">
        <f aca="false">IF(OR($E66="",$G66=""),"",IF($E66&gt;$G66,"OVER","ok"))</f>
        <v/>
      </c>
      <c r="I66" s="14" t="str">
        <f aca="false">IF($A66="","",Dashboard!$B$5-SUMIFS($E$5:$E66,$F$5:$F66,"Y"))</f>
        <v/>
      </c>
      <c r="J66" s="32"/>
    </row>
    <row r="67" customFormat="false" ht="15" hidden="false" customHeight="false" outlineLevel="0" collapsed="false">
      <c r="A67" s="7"/>
      <c r="B67" s="29"/>
      <c r="C67" s="7"/>
      <c r="D67" s="7"/>
      <c r="E67" s="30"/>
      <c r="F67" s="7"/>
      <c r="G67" s="14" t="str">
        <f aca="false">IF(OR($A67="",$D67=""),"",INDEX(Reference!$C$61:$F$65,MATCH($D67,Reference!$A$61:$A$65,0),IF($A67&lt;=4,1,IF($A67&lt;=9,2,IF($A67&lt;=13,3,4)))))</f>
        <v/>
      </c>
      <c r="H67" s="23" t="str">
        <f aca="false">IF(OR($E67="",$G67=""),"",IF($E67&gt;$G67,"OVER","ok"))</f>
        <v/>
      </c>
      <c r="I67" s="14" t="str">
        <f aca="false">IF($A67="","",Dashboard!$B$5-SUMIFS($E$5:$E67,$F$5:$F67,"Y"))</f>
        <v/>
      </c>
      <c r="J67" s="32"/>
    </row>
    <row r="68" customFormat="false" ht="15" hidden="false" customHeight="false" outlineLevel="0" collapsed="false">
      <c r="A68" s="7"/>
      <c r="B68" s="29"/>
      <c r="C68" s="7"/>
      <c r="D68" s="7"/>
      <c r="E68" s="30"/>
      <c r="F68" s="7"/>
      <c r="G68" s="14" t="str">
        <f aca="false">IF(OR($A68="",$D68=""),"",INDEX(Reference!$C$61:$F$65,MATCH($D68,Reference!$A$61:$A$65,0),IF($A68&lt;=4,1,IF($A68&lt;=9,2,IF($A68&lt;=13,3,4)))))</f>
        <v/>
      </c>
      <c r="H68" s="23" t="str">
        <f aca="false">IF(OR($E68="",$G68=""),"",IF($E68&gt;$G68,"OVER","ok"))</f>
        <v/>
      </c>
      <c r="I68" s="14" t="str">
        <f aca="false">IF($A68="","",Dashboard!$B$5-SUMIFS($E$5:$E68,$F$5:$F68,"Y"))</f>
        <v/>
      </c>
      <c r="J68" s="32"/>
    </row>
    <row r="69" customFormat="false" ht="15" hidden="false" customHeight="false" outlineLevel="0" collapsed="false">
      <c r="A69" s="7"/>
      <c r="B69" s="29"/>
      <c r="C69" s="7"/>
      <c r="D69" s="7"/>
      <c r="E69" s="30"/>
      <c r="F69" s="7"/>
      <c r="G69" s="14" t="str">
        <f aca="false">IF(OR($A69="",$D69=""),"",INDEX(Reference!$C$61:$F$65,MATCH($D69,Reference!$A$61:$A$65,0),IF($A69&lt;=4,1,IF($A69&lt;=9,2,IF($A69&lt;=13,3,4)))))</f>
        <v/>
      </c>
      <c r="H69" s="23" t="str">
        <f aca="false">IF(OR($E69="",$G69=""),"",IF($E69&gt;$G69,"OVER","ok"))</f>
        <v/>
      </c>
      <c r="I69" s="14" t="str">
        <f aca="false">IF($A69="","",Dashboard!$B$5-SUMIFS($E$5:$E69,$F$5:$F69,"Y"))</f>
        <v/>
      </c>
      <c r="J69" s="32"/>
    </row>
    <row r="70" customFormat="false" ht="15" hidden="false" customHeight="false" outlineLevel="0" collapsed="false">
      <c r="A70" s="7"/>
      <c r="B70" s="29"/>
      <c r="C70" s="7"/>
      <c r="D70" s="7"/>
      <c r="E70" s="30"/>
      <c r="F70" s="7"/>
      <c r="G70" s="14" t="str">
        <f aca="false">IF(OR($A70="",$D70=""),"",INDEX(Reference!$C$61:$F$65,MATCH($D70,Reference!$A$61:$A$65,0),IF($A70&lt;=4,1,IF($A70&lt;=9,2,IF($A70&lt;=13,3,4)))))</f>
        <v/>
      </c>
      <c r="H70" s="23" t="str">
        <f aca="false">IF(OR($E70="",$G70=""),"",IF($E70&gt;$G70,"OVER","ok"))</f>
        <v/>
      </c>
      <c r="I70" s="14" t="str">
        <f aca="false">IF($A70="","",Dashboard!$B$5-SUMIFS($E$5:$E70,$F$5:$F70,"Y"))</f>
        <v/>
      </c>
      <c r="J70" s="32"/>
    </row>
    <row r="71" customFormat="false" ht="15" hidden="false" customHeight="false" outlineLevel="0" collapsed="false">
      <c r="A71" s="7"/>
      <c r="B71" s="29"/>
      <c r="C71" s="7"/>
      <c r="D71" s="7"/>
      <c r="E71" s="30"/>
      <c r="F71" s="7"/>
      <c r="G71" s="14" t="str">
        <f aca="false">IF(OR($A71="",$D71=""),"",INDEX(Reference!$C$61:$F$65,MATCH($D71,Reference!$A$61:$A$65,0),IF($A71&lt;=4,1,IF($A71&lt;=9,2,IF($A71&lt;=13,3,4)))))</f>
        <v/>
      </c>
      <c r="H71" s="23" t="str">
        <f aca="false">IF(OR($E71="",$G71=""),"",IF($E71&gt;$G71,"OVER","ok"))</f>
        <v/>
      </c>
      <c r="I71" s="14" t="str">
        <f aca="false">IF($A71="","",Dashboard!$B$5-SUMIFS($E$5:$E71,$F$5:$F71,"Y"))</f>
        <v/>
      </c>
      <c r="J71" s="32"/>
    </row>
    <row r="72" customFormat="false" ht="15" hidden="false" customHeight="false" outlineLevel="0" collapsed="false">
      <c r="A72" s="7"/>
      <c r="B72" s="29"/>
      <c r="C72" s="7"/>
      <c r="D72" s="7"/>
      <c r="E72" s="30"/>
      <c r="F72" s="7"/>
      <c r="G72" s="14" t="str">
        <f aca="false">IF(OR($A72="",$D72=""),"",INDEX(Reference!$C$61:$F$65,MATCH($D72,Reference!$A$61:$A$65,0),IF($A72&lt;=4,1,IF($A72&lt;=9,2,IF($A72&lt;=13,3,4)))))</f>
        <v/>
      </c>
      <c r="H72" s="23" t="str">
        <f aca="false">IF(OR($E72="",$G72=""),"",IF($E72&gt;$G72,"OVER","ok"))</f>
        <v/>
      </c>
      <c r="I72" s="14" t="str">
        <f aca="false">IF($A72="","",Dashboard!$B$5-SUMIFS($E$5:$E72,$F$5:$F72,"Y"))</f>
        <v/>
      </c>
      <c r="J72" s="32"/>
    </row>
    <row r="73" customFormat="false" ht="15" hidden="false" customHeight="false" outlineLevel="0" collapsed="false">
      <c r="A73" s="7"/>
      <c r="B73" s="29"/>
      <c r="C73" s="7"/>
      <c r="D73" s="7"/>
      <c r="E73" s="30"/>
      <c r="F73" s="7"/>
      <c r="G73" s="14" t="str">
        <f aca="false">IF(OR($A73="",$D73=""),"",INDEX(Reference!$C$61:$F$65,MATCH($D73,Reference!$A$61:$A$65,0),IF($A73&lt;=4,1,IF($A73&lt;=9,2,IF($A73&lt;=13,3,4)))))</f>
        <v/>
      </c>
      <c r="H73" s="23" t="str">
        <f aca="false">IF(OR($E73="",$G73=""),"",IF($E73&gt;$G73,"OVER","ok"))</f>
        <v/>
      </c>
      <c r="I73" s="14" t="str">
        <f aca="false">IF($A73="","",Dashboard!$B$5-SUMIFS($E$5:$E73,$F$5:$F73,"Y"))</f>
        <v/>
      </c>
      <c r="J73" s="32"/>
    </row>
    <row r="74" customFormat="false" ht="15" hidden="false" customHeight="false" outlineLevel="0" collapsed="false">
      <c r="A74" s="7"/>
      <c r="B74" s="29"/>
      <c r="C74" s="7"/>
      <c r="D74" s="7"/>
      <c r="E74" s="30"/>
      <c r="F74" s="7"/>
      <c r="G74" s="14" t="str">
        <f aca="false">IF(OR($A74="",$D74=""),"",INDEX(Reference!$C$61:$F$65,MATCH($D74,Reference!$A$61:$A$65,0),IF($A74&lt;=4,1,IF($A74&lt;=9,2,IF($A74&lt;=13,3,4)))))</f>
        <v/>
      </c>
      <c r="H74" s="23" t="str">
        <f aca="false">IF(OR($E74="",$G74=""),"",IF($E74&gt;$G74,"OVER","ok"))</f>
        <v/>
      </c>
      <c r="I74" s="14" t="str">
        <f aca="false">IF($A74="","",Dashboard!$B$5-SUMIFS($E$5:$E74,$F$5:$F74,"Y"))</f>
        <v/>
      </c>
      <c r="J74" s="32"/>
    </row>
    <row r="75" customFormat="false" ht="15" hidden="false" customHeight="false" outlineLevel="0" collapsed="false">
      <c r="A75" s="7"/>
      <c r="B75" s="29"/>
      <c r="C75" s="7"/>
      <c r="D75" s="7"/>
      <c r="E75" s="30"/>
      <c r="F75" s="7"/>
      <c r="G75" s="14" t="str">
        <f aca="false">IF(OR($A75="",$D75=""),"",INDEX(Reference!$C$61:$F$65,MATCH($D75,Reference!$A$61:$A$65,0),IF($A75&lt;=4,1,IF($A75&lt;=9,2,IF($A75&lt;=13,3,4)))))</f>
        <v/>
      </c>
      <c r="H75" s="23" t="str">
        <f aca="false">IF(OR($E75="",$G75=""),"",IF($E75&gt;$G75,"OVER","ok"))</f>
        <v/>
      </c>
      <c r="I75" s="14" t="str">
        <f aca="false">IF($A75="","",Dashboard!$B$5-SUMIFS($E$5:$E75,$F$5:$F75,"Y"))</f>
        <v/>
      </c>
      <c r="J75" s="32"/>
    </row>
    <row r="76" customFormat="false" ht="15" hidden="false" customHeight="false" outlineLevel="0" collapsed="false">
      <c r="A76" s="7"/>
      <c r="B76" s="29"/>
      <c r="C76" s="7"/>
      <c r="D76" s="7"/>
      <c r="E76" s="30"/>
      <c r="F76" s="7"/>
      <c r="G76" s="14" t="str">
        <f aca="false">IF(OR($A76="",$D76=""),"",INDEX(Reference!$C$61:$F$65,MATCH($D76,Reference!$A$61:$A$65,0),IF($A76&lt;=4,1,IF($A76&lt;=9,2,IF($A76&lt;=13,3,4)))))</f>
        <v/>
      </c>
      <c r="H76" s="23" t="str">
        <f aca="false">IF(OR($E76="",$G76=""),"",IF($E76&gt;$G76,"OVER","ok"))</f>
        <v/>
      </c>
      <c r="I76" s="14" t="str">
        <f aca="false">IF($A76="","",Dashboard!$B$5-SUMIFS($E$5:$E76,$F$5:$F76,"Y"))</f>
        <v/>
      </c>
      <c r="J76" s="32"/>
    </row>
    <row r="77" customFormat="false" ht="15" hidden="false" customHeight="false" outlineLevel="0" collapsed="false">
      <c r="A77" s="7"/>
      <c r="B77" s="29"/>
      <c r="C77" s="7"/>
      <c r="D77" s="7"/>
      <c r="E77" s="30"/>
      <c r="F77" s="7"/>
      <c r="G77" s="14" t="str">
        <f aca="false">IF(OR($A77="",$D77=""),"",INDEX(Reference!$C$61:$F$65,MATCH($D77,Reference!$A$61:$A$65,0),IF($A77&lt;=4,1,IF($A77&lt;=9,2,IF($A77&lt;=13,3,4)))))</f>
        <v/>
      </c>
      <c r="H77" s="23" t="str">
        <f aca="false">IF(OR($E77="",$G77=""),"",IF($E77&gt;$G77,"OVER","ok"))</f>
        <v/>
      </c>
      <c r="I77" s="14" t="str">
        <f aca="false">IF($A77="","",Dashboard!$B$5-SUMIFS($E$5:$E77,$F$5:$F77,"Y"))</f>
        <v/>
      </c>
      <c r="J77" s="32"/>
    </row>
    <row r="78" customFormat="false" ht="15" hidden="false" customHeight="false" outlineLevel="0" collapsed="false">
      <c r="A78" s="7"/>
      <c r="B78" s="29"/>
      <c r="C78" s="7"/>
      <c r="D78" s="7"/>
      <c r="E78" s="30"/>
      <c r="F78" s="7"/>
      <c r="G78" s="14" t="str">
        <f aca="false">IF(OR($A78="",$D78=""),"",INDEX(Reference!$C$61:$F$65,MATCH($D78,Reference!$A$61:$A$65,0),IF($A78&lt;=4,1,IF($A78&lt;=9,2,IF($A78&lt;=13,3,4)))))</f>
        <v/>
      </c>
      <c r="H78" s="23" t="str">
        <f aca="false">IF(OR($E78="",$G78=""),"",IF($E78&gt;$G78,"OVER","ok"))</f>
        <v/>
      </c>
      <c r="I78" s="14" t="str">
        <f aca="false">IF($A78="","",Dashboard!$B$5-SUMIFS($E$5:$E78,$F$5:$F78,"Y"))</f>
        <v/>
      </c>
      <c r="J78" s="32"/>
    </row>
    <row r="79" customFormat="false" ht="15" hidden="false" customHeight="false" outlineLevel="0" collapsed="false">
      <c r="A79" s="7"/>
      <c r="B79" s="29"/>
      <c r="C79" s="7"/>
      <c r="D79" s="7"/>
      <c r="E79" s="30"/>
      <c r="F79" s="7"/>
      <c r="G79" s="14" t="str">
        <f aca="false">IF(OR($A79="",$D79=""),"",INDEX(Reference!$C$61:$F$65,MATCH($D79,Reference!$A$61:$A$65,0),IF($A79&lt;=4,1,IF($A79&lt;=9,2,IF($A79&lt;=13,3,4)))))</f>
        <v/>
      </c>
      <c r="H79" s="23" t="str">
        <f aca="false">IF(OR($E79="",$G79=""),"",IF($E79&gt;$G79,"OVER","ok"))</f>
        <v/>
      </c>
      <c r="I79" s="14" t="str">
        <f aca="false">IF($A79="","",Dashboard!$B$5-SUMIFS($E$5:$E79,$F$5:$F79,"Y"))</f>
        <v/>
      </c>
      <c r="J79" s="32"/>
    </row>
    <row r="80" customFormat="false" ht="15" hidden="false" customHeight="false" outlineLevel="0" collapsed="false">
      <c r="A80" s="7"/>
      <c r="B80" s="29"/>
      <c r="C80" s="7"/>
      <c r="D80" s="7"/>
      <c r="E80" s="30"/>
      <c r="F80" s="7"/>
      <c r="G80" s="14" t="str">
        <f aca="false">IF(OR($A80="",$D80=""),"",INDEX(Reference!$C$61:$F$65,MATCH($D80,Reference!$A$61:$A$65,0),IF($A80&lt;=4,1,IF($A80&lt;=9,2,IF($A80&lt;=13,3,4)))))</f>
        <v/>
      </c>
      <c r="H80" s="23" t="str">
        <f aca="false">IF(OR($E80="",$G80=""),"",IF($E80&gt;$G80,"OVER","ok"))</f>
        <v/>
      </c>
      <c r="I80" s="14" t="str">
        <f aca="false">IF($A80="","",Dashboard!$B$5-SUMIFS($E$5:$E80,$F$5:$F80,"Y"))</f>
        <v/>
      </c>
      <c r="J80" s="32"/>
    </row>
    <row r="81" customFormat="false" ht="15" hidden="false" customHeight="false" outlineLevel="0" collapsed="false">
      <c r="A81" s="7"/>
      <c r="B81" s="29"/>
      <c r="C81" s="7"/>
      <c r="D81" s="7"/>
      <c r="E81" s="30"/>
      <c r="F81" s="7"/>
      <c r="G81" s="14" t="str">
        <f aca="false">IF(OR($A81="",$D81=""),"",INDEX(Reference!$C$61:$F$65,MATCH($D81,Reference!$A$61:$A$65,0),IF($A81&lt;=4,1,IF($A81&lt;=9,2,IF($A81&lt;=13,3,4)))))</f>
        <v/>
      </c>
      <c r="H81" s="23" t="str">
        <f aca="false">IF(OR($E81="",$G81=""),"",IF($E81&gt;$G81,"OVER","ok"))</f>
        <v/>
      </c>
      <c r="I81" s="14" t="str">
        <f aca="false">IF($A81="","",Dashboard!$B$5-SUMIFS($E$5:$E81,$F$5:$F81,"Y"))</f>
        <v/>
      </c>
      <c r="J81" s="32"/>
    </row>
    <row r="82" customFormat="false" ht="15" hidden="false" customHeight="false" outlineLevel="0" collapsed="false">
      <c r="A82" s="7"/>
      <c r="B82" s="29"/>
      <c r="C82" s="7"/>
      <c r="D82" s="7"/>
      <c r="E82" s="30"/>
      <c r="F82" s="7"/>
      <c r="G82" s="14" t="str">
        <f aca="false">IF(OR($A82="",$D82=""),"",INDEX(Reference!$C$61:$F$65,MATCH($D82,Reference!$A$61:$A$65,0),IF($A82&lt;=4,1,IF($A82&lt;=9,2,IF($A82&lt;=13,3,4)))))</f>
        <v/>
      </c>
      <c r="H82" s="23" t="str">
        <f aca="false">IF(OR($E82="",$G82=""),"",IF($E82&gt;$G82,"OVER","ok"))</f>
        <v/>
      </c>
      <c r="I82" s="14" t="str">
        <f aca="false">IF($A82="","",Dashboard!$B$5-SUMIFS($E$5:$E82,$F$5:$F82,"Y"))</f>
        <v/>
      </c>
      <c r="J82" s="32"/>
    </row>
    <row r="83" customFormat="false" ht="15" hidden="false" customHeight="false" outlineLevel="0" collapsed="false">
      <c r="A83" s="7"/>
      <c r="B83" s="29"/>
      <c r="C83" s="7"/>
      <c r="D83" s="7"/>
      <c r="E83" s="30"/>
      <c r="F83" s="7"/>
      <c r="G83" s="14" t="str">
        <f aca="false">IF(OR($A83="",$D83=""),"",INDEX(Reference!$C$61:$F$65,MATCH($D83,Reference!$A$61:$A$65,0),IF($A83&lt;=4,1,IF($A83&lt;=9,2,IF($A83&lt;=13,3,4)))))</f>
        <v/>
      </c>
      <c r="H83" s="23" t="str">
        <f aca="false">IF(OR($E83="",$G83=""),"",IF($E83&gt;$G83,"OVER","ok"))</f>
        <v/>
      </c>
      <c r="I83" s="14" t="str">
        <f aca="false">IF($A83="","",Dashboard!$B$5-SUMIFS($E$5:$E83,$F$5:$F83,"Y"))</f>
        <v/>
      </c>
      <c r="J83" s="32"/>
    </row>
    <row r="84" customFormat="false" ht="15" hidden="false" customHeight="false" outlineLevel="0" collapsed="false">
      <c r="A84" s="7"/>
      <c r="B84" s="29"/>
      <c r="C84" s="7"/>
      <c r="D84" s="7"/>
      <c r="E84" s="30"/>
      <c r="F84" s="7"/>
      <c r="G84" s="14" t="str">
        <f aca="false">IF(OR($A84="",$D84=""),"",INDEX(Reference!$C$61:$F$65,MATCH($D84,Reference!$A$61:$A$65,0),IF($A84&lt;=4,1,IF($A84&lt;=9,2,IF($A84&lt;=13,3,4)))))</f>
        <v/>
      </c>
      <c r="H84" s="23" t="str">
        <f aca="false">IF(OR($E84="",$G84=""),"",IF($E84&gt;$G84,"OVER","ok"))</f>
        <v/>
      </c>
      <c r="I84" s="14" t="str">
        <f aca="false">IF($A84="","",Dashboard!$B$5-SUMIFS($E$5:$E84,$F$5:$F84,"Y"))</f>
        <v/>
      </c>
      <c r="J84" s="32"/>
    </row>
    <row r="85" customFormat="false" ht="15" hidden="false" customHeight="false" outlineLevel="0" collapsed="false">
      <c r="A85" s="7"/>
      <c r="B85" s="29"/>
      <c r="C85" s="7"/>
      <c r="D85" s="7"/>
      <c r="E85" s="30"/>
      <c r="F85" s="7"/>
      <c r="G85" s="14" t="str">
        <f aca="false">IF(OR($A85="",$D85=""),"",INDEX(Reference!$C$61:$F$65,MATCH($D85,Reference!$A$61:$A$65,0),IF($A85&lt;=4,1,IF($A85&lt;=9,2,IF($A85&lt;=13,3,4)))))</f>
        <v/>
      </c>
      <c r="H85" s="23" t="str">
        <f aca="false">IF(OR($E85="",$G85=""),"",IF($E85&gt;$G85,"OVER","ok"))</f>
        <v/>
      </c>
      <c r="I85" s="14" t="str">
        <f aca="false">IF($A85="","",Dashboard!$B$5-SUMIFS($E$5:$E85,$F$5:$F85,"Y"))</f>
        <v/>
      </c>
      <c r="J85" s="32"/>
    </row>
    <row r="86" customFormat="false" ht="15" hidden="false" customHeight="false" outlineLevel="0" collapsed="false">
      <c r="A86" s="7"/>
      <c r="B86" s="29"/>
      <c r="C86" s="7"/>
      <c r="D86" s="7"/>
      <c r="E86" s="30"/>
      <c r="F86" s="7"/>
      <c r="G86" s="14" t="str">
        <f aca="false">IF(OR($A86="",$D86=""),"",INDEX(Reference!$C$61:$F$65,MATCH($D86,Reference!$A$61:$A$65,0),IF($A86&lt;=4,1,IF($A86&lt;=9,2,IF($A86&lt;=13,3,4)))))</f>
        <v/>
      </c>
      <c r="H86" s="23" t="str">
        <f aca="false">IF(OR($E86="",$G86=""),"",IF($E86&gt;$G86,"OVER","ok"))</f>
        <v/>
      </c>
      <c r="I86" s="14" t="str">
        <f aca="false">IF($A86="","",Dashboard!$B$5-SUMIFS($E$5:$E86,$F$5:$F86,"Y"))</f>
        <v/>
      </c>
      <c r="J86" s="32"/>
    </row>
    <row r="87" customFormat="false" ht="15" hidden="false" customHeight="false" outlineLevel="0" collapsed="false">
      <c r="A87" s="7"/>
      <c r="B87" s="29"/>
      <c r="C87" s="7"/>
      <c r="D87" s="7"/>
      <c r="E87" s="30"/>
      <c r="F87" s="7"/>
      <c r="G87" s="14" t="str">
        <f aca="false">IF(OR($A87="",$D87=""),"",INDEX(Reference!$C$61:$F$65,MATCH($D87,Reference!$A$61:$A$65,0),IF($A87&lt;=4,1,IF($A87&lt;=9,2,IF($A87&lt;=13,3,4)))))</f>
        <v/>
      </c>
      <c r="H87" s="23" t="str">
        <f aca="false">IF(OR($E87="",$G87=""),"",IF($E87&gt;$G87,"OVER","ok"))</f>
        <v/>
      </c>
      <c r="I87" s="14" t="str">
        <f aca="false">IF($A87="","",Dashboard!$B$5-SUMIFS($E$5:$E87,$F$5:$F87,"Y"))</f>
        <v/>
      </c>
      <c r="J87" s="32"/>
    </row>
    <row r="88" customFormat="false" ht="15" hidden="false" customHeight="false" outlineLevel="0" collapsed="false">
      <c r="A88" s="7"/>
      <c r="B88" s="29"/>
      <c r="C88" s="7"/>
      <c r="D88" s="7"/>
      <c r="E88" s="30"/>
      <c r="F88" s="7"/>
      <c r="G88" s="14" t="str">
        <f aca="false">IF(OR($A88="",$D88=""),"",INDEX(Reference!$C$61:$F$65,MATCH($D88,Reference!$A$61:$A$65,0),IF($A88&lt;=4,1,IF($A88&lt;=9,2,IF($A88&lt;=13,3,4)))))</f>
        <v/>
      </c>
      <c r="H88" s="23" t="str">
        <f aca="false">IF(OR($E88="",$G88=""),"",IF($E88&gt;$G88,"OVER","ok"))</f>
        <v/>
      </c>
      <c r="I88" s="14" t="str">
        <f aca="false">IF($A88="","",Dashboard!$B$5-SUMIFS($E$5:$E88,$F$5:$F88,"Y"))</f>
        <v/>
      </c>
      <c r="J88" s="32"/>
    </row>
    <row r="89" customFormat="false" ht="15" hidden="false" customHeight="false" outlineLevel="0" collapsed="false">
      <c r="A89" s="7"/>
      <c r="B89" s="29"/>
      <c r="C89" s="7"/>
      <c r="D89" s="7"/>
      <c r="E89" s="30"/>
      <c r="F89" s="7"/>
      <c r="G89" s="14" t="str">
        <f aca="false">IF(OR($A89="",$D89=""),"",INDEX(Reference!$C$61:$F$65,MATCH($D89,Reference!$A$61:$A$65,0),IF($A89&lt;=4,1,IF($A89&lt;=9,2,IF($A89&lt;=13,3,4)))))</f>
        <v/>
      </c>
      <c r="H89" s="23" t="str">
        <f aca="false">IF(OR($E89="",$G89=""),"",IF($E89&gt;$G89,"OVER","ok"))</f>
        <v/>
      </c>
      <c r="I89" s="14" t="str">
        <f aca="false">IF($A89="","",Dashboard!$B$5-SUMIFS($E$5:$E89,$F$5:$F89,"Y"))</f>
        <v/>
      </c>
      <c r="J89" s="32"/>
    </row>
    <row r="90" customFormat="false" ht="15" hidden="false" customHeight="false" outlineLevel="0" collapsed="false">
      <c r="A90" s="7"/>
      <c r="B90" s="29"/>
      <c r="C90" s="7"/>
      <c r="D90" s="7"/>
      <c r="E90" s="30"/>
      <c r="F90" s="7"/>
      <c r="G90" s="14" t="str">
        <f aca="false">IF(OR($A90="",$D90=""),"",INDEX(Reference!$C$61:$F$65,MATCH($D90,Reference!$A$61:$A$65,0),IF($A90&lt;=4,1,IF($A90&lt;=9,2,IF($A90&lt;=13,3,4)))))</f>
        <v/>
      </c>
      <c r="H90" s="23" t="str">
        <f aca="false">IF(OR($E90="",$G90=""),"",IF($E90&gt;$G90,"OVER","ok"))</f>
        <v/>
      </c>
      <c r="I90" s="14" t="str">
        <f aca="false">IF($A90="","",Dashboard!$B$5-SUMIFS($E$5:$E90,$F$5:$F90,"Y"))</f>
        <v/>
      </c>
      <c r="J90" s="32"/>
    </row>
    <row r="91" customFormat="false" ht="15" hidden="false" customHeight="false" outlineLevel="0" collapsed="false">
      <c r="A91" s="7"/>
      <c r="B91" s="29"/>
      <c r="C91" s="7"/>
      <c r="D91" s="7"/>
      <c r="E91" s="30"/>
      <c r="F91" s="7"/>
      <c r="G91" s="14" t="str">
        <f aca="false">IF(OR($A91="",$D91=""),"",INDEX(Reference!$C$61:$F$65,MATCH($D91,Reference!$A$61:$A$65,0),IF($A91&lt;=4,1,IF($A91&lt;=9,2,IF($A91&lt;=13,3,4)))))</f>
        <v/>
      </c>
      <c r="H91" s="23" t="str">
        <f aca="false">IF(OR($E91="",$G91=""),"",IF($E91&gt;$G91,"OVER","ok"))</f>
        <v/>
      </c>
      <c r="I91" s="14" t="str">
        <f aca="false">IF($A91="","",Dashboard!$B$5-SUMIFS($E$5:$E91,$F$5:$F91,"Y"))</f>
        <v/>
      </c>
      <c r="J91" s="32"/>
    </row>
    <row r="92" customFormat="false" ht="15" hidden="false" customHeight="false" outlineLevel="0" collapsed="false">
      <c r="A92" s="7"/>
      <c r="B92" s="29"/>
      <c r="C92" s="7"/>
      <c r="D92" s="7"/>
      <c r="E92" s="30"/>
      <c r="F92" s="7"/>
      <c r="G92" s="14" t="str">
        <f aca="false">IF(OR($A92="",$D92=""),"",INDEX(Reference!$C$61:$F$65,MATCH($D92,Reference!$A$61:$A$65,0),IF($A92&lt;=4,1,IF($A92&lt;=9,2,IF($A92&lt;=13,3,4)))))</f>
        <v/>
      </c>
      <c r="H92" s="23" t="str">
        <f aca="false">IF(OR($E92="",$G92=""),"",IF($E92&gt;$G92,"OVER","ok"))</f>
        <v/>
      </c>
      <c r="I92" s="14" t="str">
        <f aca="false">IF($A92="","",Dashboard!$B$5-SUMIFS($E$5:$E92,$F$5:$F92,"Y"))</f>
        <v/>
      </c>
      <c r="J92" s="32"/>
    </row>
    <row r="93" customFormat="false" ht="15" hidden="false" customHeight="false" outlineLevel="0" collapsed="false">
      <c r="A93" s="7"/>
      <c r="B93" s="29"/>
      <c r="C93" s="7"/>
      <c r="D93" s="7"/>
      <c r="E93" s="30"/>
      <c r="F93" s="7"/>
      <c r="G93" s="14" t="str">
        <f aca="false">IF(OR($A93="",$D93=""),"",INDEX(Reference!$C$61:$F$65,MATCH($D93,Reference!$A$61:$A$65,0),IF($A93&lt;=4,1,IF($A93&lt;=9,2,IF($A93&lt;=13,3,4)))))</f>
        <v/>
      </c>
      <c r="H93" s="23" t="str">
        <f aca="false">IF(OR($E93="",$G93=""),"",IF($E93&gt;$G93,"OVER","ok"))</f>
        <v/>
      </c>
      <c r="I93" s="14" t="str">
        <f aca="false">IF($A93="","",Dashboard!$B$5-SUMIFS($E$5:$E93,$F$5:$F93,"Y"))</f>
        <v/>
      </c>
      <c r="J93" s="32"/>
    </row>
    <row r="94" customFormat="false" ht="15" hidden="false" customHeight="false" outlineLevel="0" collapsed="false">
      <c r="A94" s="7"/>
      <c r="B94" s="29"/>
      <c r="C94" s="7"/>
      <c r="D94" s="7"/>
      <c r="E94" s="30"/>
      <c r="F94" s="7"/>
      <c r="G94" s="14" t="str">
        <f aca="false">IF(OR($A94="",$D94=""),"",INDEX(Reference!$C$61:$F$65,MATCH($D94,Reference!$A$61:$A$65,0),IF($A94&lt;=4,1,IF($A94&lt;=9,2,IF($A94&lt;=13,3,4)))))</f>
        <v/>
      </c>
      <c r="H94" s="23" t="str">
        <f aca="false">IF(OR($E94="",$G94=""),"",IF($E94&gt;$G94,"OVER","ok"))</f>
        <v/>
      </c>
      <c r="I94" s="14" t="str">
        <f aca="false">IF($A94="","",Dashboard!$B$5-SUMIFS($E$5:$E94,$F$5:$F94,"Y"))</f>
        <v/>
      </c>
      <c r="J94" s="32"/>
    </row>
    <row r="95" customFormat="false" ht="15" hidden="false" customHeight="false" outlineLevel="0" collapsed="false">
      <c r="A95" s="7"/>
      <c r="B95" s="29"/>
      <c r="C95" s="7"/>
      <c r="D95" s="7"/>
      <c r="E95" s="30"/>
      <c r="F95" s="7"/>
      <c r="G95" s="14" t="str">
        <f aca="false">IF(OR($A95="",$D95=""),"",INDEX(Reference!$C$61:$F$65,MATCH($D95,Reference!$A$61:$A$65,0),IF($A95&lt;=4,1,IF($A95&lt;=9,2,IF($A95&lt;=13,3,4)))))</f>
        <v/>
      </c>
      <c r="H95" s="23" t="str">
        <f aca="false">IF(OR($E95="",$G95=""),"",IF($E95&gt;$G95,"OVER","ok"))</f>
        <v/>
      </c>
      <c r="I95" s="14" t="str">
        <f aca="false">IF($A95="","",Dashboard!$B$5-SUMIFS($E$5:$E95,$F$5:$F95,"Y"))</f>
        <v/>
      </c>
      <c r="J95" s="32"/>
    </row>
    <row r="96" customFormat="false" ht="15" hidden="false" customHeight="false" outlineLevel="0" collapsed="false">
      <c r="A96" s="7"/>
      <c r="B96" s="29"/>
      <c r="C96" s="7"/>
      <c r="D96" s="7"/>
      <c r="E96" s="30"/>
      <c r="F96" s="7"/>
      <c r="G96" s="14" t="str">
        <f aca="false">IF(OR($A96="",$D96=""),"",INDEX(Reference!$C$61:$F$65,MATCH($D96,Reference!$A$61:$A$65,0),IF($A96&lt;=4,1,IF($A96&lt;=9,2,IF($A96&lt;=13,3,4)))))</f>
        <v/>
      </c>
      <c r="H96" s="23" t="str">
        <f aca="false">IF(OR($E96="",$G96=""),"",IF($E96&gt;$G96,"OVER","ok"))</f>
        <v/>
      </c>
      <c r="I96" s="14" t="str">
        <f aca="false">IF($A96="","",Dashboard!$B$5-SUMIFS($E$5:$E96,$F$5:$F96,"Y"))</f>
        <v/>
      </c>
      <c r="J96" s="32"/>
    </row>
    <row r="97" customFormat="false" ht="15" hidden="false" customHeight="false" outlineLevel="0" collapsed="false">
      <c r="A97" s="7"/>
      <c r="B97" s="29"/>
      <c r="C97" s="7"/>
      <c r="D97" s="7"/>
      <c r="E97" s="30"/>
      <c r="F97" s="7"/>
      <c r="G97" s="14" t="str">
        <f aca="false">IF(OR($A97="",$D97=""),"",INDEX(Reference!$C$61:$F$65,MATCH($D97,Reference!$A$61:$A$65,0),IF($A97&lt;=4,1,IF($A97&lt;=9,2,IF($A97&lt;=13,3,4)))))</f>
        <v/>
      </c>
      <c r="H97" s="23" t="str">
        <f aca="false">IF(OR($E97="",$G97=""),"",IF($E97&gt;$G97,"OVER","ok"))</f>
        <v/>
      </c>
      <c r="I97" s="14" t="str">
        <f aca="false">IF($A97="","",Dashboard!$B$5-SUMIFS($E$5:$E97,$F$5:$F97,"Y"))</f>
        <v/>
      </c>
      <c r="J97" s="32"/>
    </row>
    <row r="98" customFormat="false" ht="15" hidden="false" customHeight="false" outlineLevel="0" collapsed="false">
      <c r="A98" s="7"/>
      <c r="B98" s="29"/>
      <c r="C98" s="7"/>
      <c r="D98" s="7"/>
      <c r="E98" s="30"/>
      <c r="F98" s="7"/>
      <c r="G98" s="14" t="str">
        <f aca="false">IF(OR($A98="",$D98=""),"",INDEX(Reference!$C$61:$F$65,MATCH($D98,Reference!$A$61:$A$65,0),IF($A98&lt;=4,1,IF($A98&lt;=9,2,IF($A98&lt;=13,3,4)))))</f>
        <v/>
      </c>
      <c r="H98" s="23" t="str">
        <f aca="false">IF(OR($E98="",$G98=""),"",IF($E98&gt;$G98,"OVER","ok"))</f>
        <v/>
      </c>
      <c r="I98" s="14" t="str">
        <f aca="false">IF($A98="","",Dashboard!$B$5-SUMIFS($E$5:$E98,$F$5:$F98,"Y"))</f>
        <v/>
      </c>
      <c r="J98" s="32"/>
    </row>
    <row r="99" customFormat="false" ht="15" hidden="false" customHeight="false" outlineLevel="0" collapsed="false">
      <c r="A99" s="7"/>
      <c r="B99" s="29"/>
      <c r="C99" s="7"/>
      <c r="D99" s="7"/>
      <c r="E99" s="30"/>
      <c r="F99" s="7"/>
      <c r="G99" s="14" t="str">
        <f aca="false">IF(OR($A99="",$D99=""),"",INDEX(Reference!$C$61:$F$65,MATCH($D99,Reference!$A$61:$A$65,0),IF($A99&lt;=4,1,IF($A99&lt;=9,2,IF($A99&lt;=13,3,4)))))</f>
        <v/>
      </c>
      <c r="H99" s="23" t="str">
        <f aca="false">IF(OR($E99="",$G99=""),"",IF($E99&gt;$G99,"OVER","ok"))</f>
        <v/>
      </c>
      <c r="I99" s="14" t="str">
        <f aca="false">IF($A99="","",Dashboard!$B$5-SUMIFS($E$5:$E99,$F$5:$F99,"Y"))</f>
        <v/>
      </c>
      <c r="J99" s="32"/>
    </row>
    <row r="100" customFormat="false" ht="15" hidden="false" customHeight="false" outlineLevel="0" collapsed="false">
      <c r="A100" s="7"/>
      <c r="B100" s="29"/>
      <c r="C100" s="7"/>
      <c r="D100" s="7"/>
      <c r="E100" s="30"/>
      <c r="F100" s="7"/>
      <c r="G100" s="14" t="str">
        <f aca="false">IF(OR($A100="",$D100=""),"",INDEX(Reference!$C$61:$F$65,MATCH($D100,Reference!$A$61:$A$65,0),IF($A100&lt;=4,1,IF($A100&lt;=9,2,IF($A100&lt;=13,3,4)))))</f>
        <v/>
      </c>
      <c r="H100" s="23" t="str">
        <f aca="false">IF(OR($E100="",$G100=""),"",IF($E100&gt;$G100,"OVER","ok"))</f>
        <v/>
      </c>
      <c r="I100" s="14" t="str">
        <f aca="false">IF($A100="","",Dashboard!$B$5-SUMIFS($E$5:$E100,$F$5:$F100,"Y"))</f>
        <v/>
      </c>
      <c r="J100" s="32"/>
    </row>
    <row r="101" customFormat="false" ht="15" hidden="false" customHeight="false" outlineLevel="0" collapsed="false">
      <c r="A101" s="7"/>
      <c r="B101" s="29"/>
      <c r="C101" s="7"/>
      <c r="D101" s="7"/>
      <c r="E101" s="30"/>
      <c r="F101" s="7"/>
      <c r="G101" s="14" t="str">
        <f aca="false">IF(OR($A101="",$D101=""),"",INDEX(Reference!$C$61:$F$65,MATCH($D101,Reference!$A$61:$A$65,0),IF($A101&lt;=4,1,IF($A101&lt;=9,2,IF($A101&lt;=13,3,4)))))</f>
        <v/>
      </c>
      <c r="H101" s="23" t="str">
        <f aca="false">IF(OR($E101="",$G101=""),"",IF($E101&gt;$G101,"OVER","ok"))</f>
        <v/>
      </c>
      <c r="I101" s="14" t="str">
        <f aca="false">IF($A101="","",Dashboard!$B$5-SUMIFS($E$5:$E101,$F$5:$F101,"Y"))</f>
        <v/>
      </c>
      <c r="J101" s="32"/>
    </row>
    <row r="102" customFormat="false" ht="15" hidden="false" customHeight="false" outlineLevel="0" collapsed="false">
      <c r="A102" s="7"/>
      <c r="B102" s="29"/>
      <c r="C102" s="7"/>
      <c r="D102" s="7"/>
      <c r="E102" s="30"/>
      <c r="F102" s="7"/>
      <c r="G102" s="14" t="str">
        <f aca="false">IF(OR($A102="",$D102=""),"",INDEX(Reference!$C$61:$F$65,MATCH($D102,Reference!$A$61:$A$65,0),IF($A102&lt;=4,1,IF($A102&lt;=9,2,IF($A102&lt;=13,3,4)))))</f>
        <v/>
      </c>
      <c r="H102" s="23" t="str">
        <f aca="false">IF(OR($E102="",$G102=""),"",IF($E102&gt;$G102,"OVER","ok"))</f>
        <v/>
      </c>
      <c r="I102" s="14" t="str">
        <f aca="false">IF($A102="","",Dashboard!$B$5-SUMIFS($E$5:$E102,$F$5:$F102,"Y"))</f>
        <v/>
      </c>
      <c r="J102" s="32"/>
    </row>
    <row r="103" customFormat="false" ht="15" hidden="false" customHeight="false" outlineLevel="0" collapsed="false">
      <c r="A103" s="7"/>
      <c r="B103" s="29"/>
      <c r="C103" s="7"/>
      <c r="D103" s="7"/>
      <c r="E103" s="30"/>
      <c r="F103" s="7"/>
      <c r="G103" s="14" t="str">
        <f aca="false">IF(OR($A103="",$D103=""),"",INDEX(Reference!$C$61:$F$65,MATCH($D103,Reference!$A$61:$A$65,0),IF($A103&lt;=4,1,IF($A103&lt;=9,2,IF($A103&lt;=13,3,4)))))</f>
        <v/>
      </c>
      <c r="H103" s="23" t="str">
        <f aca="false">IF(OR($E103="",$G103=""),"",IF($E103&gt;$G103,"OVER","ok"))</f>
        <v/>
      </c>
      <c r="I103" s="14" t="str">
        <f aca="false">IF($A103="","",Dashboard!$B$5-SUMIFS($E$5:$E103,$F$5:$F103,"Y"))</f>
        <v/>
      </c>
      <c r="J103" s="32"/>
    </row>
    <row r="104" customFormat="false" ht="15" hidden="false" customHeight="false" outlineLevel="0" collapsed="false">
      <c r="A104" s="7"/>
      <c r="B104" s="29"/>
      <c r="C104" s="7"/>
      <c r="D104" s="7"/>
      <c r="E104" s="30"/>
      <c r="F104" s="7"/>
      <c r="G104" s="14" t="str">
        <f aca="false">IF(OR($A104="",$D104=""),"",INDEX(Reference!$C$61:$F$65,MATCH($D104,Reference!$A$61:$A$65,0),IF($A104&lt;=4,1,IF($A104&lt;=9,2,IF($A104&lt;=13,3,4)))))</f>
        <v/>
      </c>
      <c r="H104" s="23" t="str">
        <f aca="false">IF(OR($E104="",$G104=""),"",IF($E104&gt;$G104,"OVER","ok"))</f>
        <v/>
      </c>
      <c r="I104" s="14" t="str">
        <f aca="false">IF($A104="","",Dashboard!$B$5-SUMIFS($E$5:$E104,$F$5:$F104,"Y"))</f>
        <v/>
      </c>
      <c r="J104" s="32"/>
    </row>
    <row r="105" customFormat="false" ht="15" hidden="false" customHeight="false" outlineLevel="0" collapsed="false">
      <c r="A105" s="7"/>
      <c r="B105" s="29"/>
      <c r="C105" s="7"/>
      <c r="D105" s="7"/>
      <c r="E105" s="30"/>
      <c r="F105" s="7"/>
      <c r="G105" s="14" t="str">
        <f aca="false">IF(OR($A105="",$D105=""),"",INDEX(Reference!$C$61:$F$65,MATCH($D105,Reference!$A$61:$A$65,0),IF($A105&lt;=4,1,IF($A105&lt;=9,2,IF($A105&lt;=13,3,4)))))</f>
        <v/>
      </c>
      <c r="H105" s="23" t="str">
        <f aca="false">IF(OR($E105="",$G105=""),"",IF($E105&gt;$G105,"OVER","ok"))</f>
        <v/>
      </c>
      <c r="I105" s="14" t="str">
        <f aca="false">IF($A105="","",Dashboard!$B$5-SUMIFS($E$5:$E105,$F$5:$F105,"Y"))</f>
        <v/>
      </c>
      <c r="J105" s="32"/>
    </row>
    <row r="106" customFormat="false" ht="15" hidden="false" customHeight="false" outlineLevel="0" collapsed="false">
      <c r="A106" s="7"/>
      <c r="B106" s="29"/>
      <c r="C106" s="7"/>
      <c r="D106" s="7"/>
      <c r="E106" s="30"/>
      <c r="F106" s="7"/>
      <c r="G106" s="14" t="str">
        <f aca="false">IF(OR($A106="",$D106=""),"",INDEX(Reference!$C$61:$F$65,MATCH($D106,Reference!$A$61:$A$65,0),IF($A106&lt;=4,1,IF($A106&lt;=9,2,IF($A106&lt;=13,3,4)))))</f>
        <v/>
      </c>
      <c r="H106" s="23" t="str">
        <f aca="false">IF(OR($E106="",$G106=""),"",IF($E106&gt;$G106,"OVER","ok"))</f>
        <v/>
      </c>
      <c r="I106" s="14" t="str">
        <f aca="false">IF($A106="","",Dashboard!$B$5-SUMIFS($E$5:$E106,$F$5:$F106,"Y"))</f>
        <v/>
      </c>
      <c r="J106" s="32"/>
    </row>
    <row r="107" customFormat="false" ht="15" hidden="false" customHeight="false" outlineLevel="0" collapsed="false">
      <c r="A107" s="7"/>
      <c r="B107" s="29"/>
      <c r="C107" s="7"/>
      <c r="D107" s="7"/>
      <c r="E107" s="30"/>
      <c r="F107" s="7"/>
      <c r="G107" s="14" t="str">
        <f aca="false">IF(OR($A107="",$D107=""),"",INDEX(Reference!$C$61:$F$65,MATCH($D107,Reference!$A$61:$A$65,0),IF($A107&lt;=4,1,IF($A107&lt;=9,2,IF($A107&lt;=13,3,4)))))</f>
        <v/>
      </c>
      <c r="H107" s="23" t="str">
        <f aca="false">IF(OR($E107="",$G107=""),"",IF($E107&gt;$G107,"OVER","ok"))</f>
        <v/>
      </c>
      <c r="I107" s="14" t="str">
        <f aca="false">IF($A107="","",Dashboard!$B$5-SUMIFS($E$5:$E107,$F$5:$F107,"Y"))</f>
        <v/>
      </c>
      <c r="J107" s="32"/>
    </row>
    <row r="108" customFormat="false" ht="15" hidden="false" customHeight="false" outlineLevel="0" collapsed="false">
      <c r="A108" s="7"/>
      <c r="B108" s="29"/>
      <c r="C108" s="7"/>
      <c r="D108" s="7"/>
      <c r="E108" s="30"/>
      <c r="F108" s="7"/>
      <c r="G108" s="14" t="str">
        <f aca="false">IF(OR($A108="",$D108=""),"",INDEX(Reference!$C$61:$F$65,MATCH($D108,Reference!$A$61:$A$65,0),IF($A108&lt;=4,1,IF($A108&lt;=9,2,IF($A108&lt;=13,3,4)))))</f>
        <v/>
      </c>
      <c r="H108" s="23" t="str">
        <f aca="false">IF(OR($E108="",$G108=""),"",IF($E108&gt;$G108,"OVER","ok"))</f>
        <v/>
      </c>
      <c r="I108" s="14" t="str">
        <f aca="false">IF($A108="","",Dashboard!$B$5-SUMIFS($E$5:$E108,$F$5:$F108,"Y"))</f>
        <v/>
      </c>
      <c r="J108" s="32"/>
    </row>
    <row r="109" customFormat="false" ht="15" hidden="false" customHeight="false" outlineLevel="0" collapsed="false">
      <c r="A109" s="7"/>
      <c r="B109" s="29"/>
      <c r="C109" s="7"/>
      <c r="D109" s="7"/>
      <c r="E109" s="30"/>
      <c r="F109" s="7"/>
      <c r="G109" s="14" t="str">
        <f aca="false">IF(OR($A109="",$D109=""),"",INDEX(Reference!$C$61:$F$65,MATCH($D109,Reference!$A$61:$A$65,0),IF($A109&lt;=4,1,IF($A109&lt;=9,2,IF($A109&lt;=13,3,4)))))</f>
        <v/>
      </c>
      <c r="H109" s="23" t="str">
        <f aca="false">IF(OR($E109="",$G109=""),"",IF($E109&gt;$G109,"OVER","ok"))</f>
        <v/>
      </c>
      <c r="I109" s="14" t="str">
        <f aca="false">IF($A109="","",Dashboard!$B$5-SUMIFS($E$5:$E109,$F$5:$F109,"Y"))</f>
        <v/>
      </c>
      <c r="J109" s="32"/>
    </row>
    <row r="110" customFormat="false" ht="15" hidden="false" customHeight="false" outlineLevel="0" collapsed="false">
      <c r="A110" s="7"/>
      <c r="B110" s="29"/>
      <c r="C110" s="7"/>
      <c r="D110" s="7"/>
      <c r="E110" s="30"/>
      <c r="F110" s="7"/>
      <c r="G110" s="14" t="str">
        <f aca="false">IF(OR($A110="",$D110=""),"",INDEX(Reference!$C$61:$F$65,MATCH($D110,Reference!$A$61:$A$65,0),IF($A110&lt;=4,1,IF($A110&lt;=9,2,IF($A110&lt;=13,3,4)))))</f>
        <v/>
      </c>
      <c r="H110" s="23" t="str">
        <f aca="false">IF(OR($E110="",$G110=""),"",IF($E110&gt;$G110,"OVER","ok"))</f>
        <v/>
      </c>
      <c r="I110" s="14" t="str">
        <f aca="false">IF($A110="","",Dashboard!$B$5-SUMIFS($E$5:$E110,$F$5:$F110,"Y"))</f>
        <v/>
      </c>
      <c r="J110" s="32"/>
    </row>
    <row r="111" customFormat="false" ht="15" hidden="false" customHeight="false" outlineLevel="0" collapsed="false">
      <c r="A111" s="7"/>
      <c r="B111" s="29"/>
      <c r="C111" s="7"/>
      <c r="D111" s="7"/>
      <c r="E111" s="30"/>
      <c r="F111" s="7"/>
      <c r="G111" s="14" t="str">
        <f aca="false">IF(OR($A111="",$D111=""),"",INDEX(Reference!$C$61:$F$65,MATCH($D111,Reference!$A$61:$A$65,0),IF($A111&lt;=4,1,IF($A111&lt;=9,2,IF($A111&lt;=13,3,4)))))</f>
        <v/>
      </c>
      <c r="H111" s="23" t="str">
        <f aca="false">IF(OR($E111="",$G111=""),"",IF($E111&gt;$G111,"OVER","ok"))</f>
        <v/>
      </c>
      <c r="I111" s="14" t="str">
        <f aca="false">IF($A111="","",Dashboard!$B$5-SUMIFS($E$5:$E111,$F$5:$F111,"Y"))</f>
        <v/>
      </c>
      <c r="J111" s="32"/>
    </row>
    <row r="112" customFormat="false" ht="15" hidden="false" customHeight="false" outlineLevel="0" collapsed="false">
      <c r="A112" s="7"/>
      <c r="B112" s="29"/>
      <c r="C112" s="7"/>
      <c r="D112" s="7"/>
      <c r="E112" s="30"/>
      <c r="F112" s="7"/>
      <c r="G112" s="14" t="str">
        <f aca="false">IF(OR($A112="",$D112=""),"",INDEX(Reference!$C$61:$F$65,MATCH($D112,Reference!$A$61:$A$65,0),IF($A112&lt;=4,1,IF($A112&lt;=9,2,IF($A112&lt;=13,3,4)))))</f>
        <v/>
      </c>
      <c r="H112" s="23" t="str">
        <f aca="false">IF(OR($E112="",$G112=""),"",IF($E112&gt;$G112,"OVER","ok"))</f>
        <v/>
      </c>
      <c r="I112" s="14" t="str">
        <f aca="false">IF($A112="","",Dashboard!$B$5-SUMIFS($E$5:$E112,$F$5:$F112,"Y"))</f>
        <v/>
      </c>
      <c r="J112" s="32"/>
    </row>
    <row r="113" customFormat="false" ht="15" hidden="false" customHeight="false" outlineLevel="0" collapsed="false">
      <c r="A113" s="7"/>
      <c r="B113" s="29"/>
      <c r="C113" s="7"/>
      <c r="D113" s="7"/>
      <c r="E113" s="30"/>
      <c r="F113" s="7"/>
      <c r="G113" s="14" t="str">
        <f aca="false">IF(OR($A113="",$D113=""),"",INDEX(Reference!$C$61:$F$65,MATCH($D113,Reference!$A$61:$A$65,0),IF($A113&lt;=4,1,IF($A113&lt;=9,2,IF($A113&lt;=13,3,4)))))</f>
        <v/>
      </c>
      <c r="H113" s="23" t="str">
        <f aca="false">IF(OR($E113="",$G113=""),"",IF($E113&gt;$G113,"OVER","ok"))</f>
        <v/>
      </c>
      <c r="I113" s="14" t="str">
        <f aca="false">IF($A113="","",Dashboard!$B$5-SUMIFS($E$5:$E113,$F$5:$F113,"Y"))</f>
        <v/>
      </c>
      <c r="J113" s="32"/>
    </row>
    <row r="114" customFormat="false" ht="15" hidden="false" customHeight="false" outlineLevel="0" collapsed="false">
      <c r="A114" s="7"/>
      <c r="B114" s="29"/>
      <c r="C114" s="7"/>
      <c r="D114" s="7"/>
      <c r="E114" s="30"/>
      <c r="F114" s="7"/>
      <c r="G114" s="14" t="str">
        <f aca="false">IF(OR($A114="",$D114=""),"",INDEX(Reference!$C$61:$F$65,MATCH($D114,Reference!$A$61:$A$65,0),IF($A114&lt;=4,1,IF($A114&lt;=9,2,IF($A114&lt;=13,3,4)))))</f>
        <v/>
      </c>
      <c r="H114" s="23" t="str">
        <f aca="false">IF(OR($E114="",$G114=""),"",IF($E114&gt;$G114,"OVER","ok"))</f>
        <v/>
      </c>
      <c r="I114" s="14" t="str">
        <f aca="false">IF($A114="","",Dashboard!$B$5-SUMIFS($E$5:$E114,$F$5:$F114,"Y"))</f>
        <v/>
      </c>
      <c r="J114" s="32"/>
    </row>
    <row r="115" customFormat="false" ht="15" hidden="false" customHeight="false" outlineLevel="0" collapsed="false">
      <c r="A115" s="7"/>
      <c r="B115" s="29"/>
      <c r="C115" s="7"/>
      <c r="D115" s="7"/>
      <c r="E115" s="30"/>
      <c r="F115" s="7"/>
      <c r="G115" s="14" t="str">
        <f aca="false">IF(OR($A115="",$D115=""),"",INDEX(Reference!$C$61:$F$65,MATCH($D115,Reference!$A$61:$A$65,0),IF($A115&lt;=4,1,IF($A115&lt;=9,2,IF($A115&lt;=13,3,4)))))</f>
        <v/>
      </c>
      <c r="H115" s="23" t="str">
        <f aca="false">IF(OR($E115="",$G115=""),"",IF($E115&gt;$G115,"OVER","ok"))</f>
        <v/>
      </c>
      <c r="I115" s="14" t="str">
        <f aca="false">IF($A115="","",Dashboard!$B$5-SUMIFS($E$5:$E115,$F$5:$F115,"Y"))</f>
        <v/>
      </c>
      <c r="J115" s="32"/>
    </row>
    <row r="116" customFormat="false" ht="15" hidden="false" customHeight="false" outlineLevel="0" collapsed="false">
      <c r="A116" s="7"/>
      <c r="B116" s="29"/>
      <c r="C116" s="7"/>
      <c r="D116" s="7"/>
      <c r="E116" s="30"/>
      <c r="F116" s="7"/>
      <c r="G116" s="14" t="str">
        <f aca="false">IF(OR($A116="",$D116=""),"",INDEX(Reference!$C$61:$F$65,MATCH($D116,Reference!$A$61:$A$65,0),IF($A116&lt;=4,1,IF($A116&lt;=9,2,IF($A116&lt;=13,3,4)))))</f>
        <v/>
      </c>
      <c r="H116" s="23" t="str">
        <f aca="false">IF(OR($E116="",$G116=""),"",IF($E116&gt;$G116,"OVER","ok"))</f>
        <v/>
      </c>
      <c r="I116" s="14" t="str">
        <f aca="false">IF($A116="","",Dashboard!$B$5-SUMIFS($E$5:$E116,$F$5:$F116,"Y"))</f>
        <v/>
      </c>
      <c r="J116" s="32"/>
    </row>
    <row r="117" customFormat="false" ht="15" hidden="false" customHeight="false" outlineLevel="0" collapsed="false">
      <c r="A117" s="7"/>
      <c r="B117" s="29"/>
      <c r="C117" s="7"/>
      <c r="D117" s="7"/>
      <c r="E117" s="30"/>
      <c r="F117" s="7"/>
      <c r="G117" s="14" t="str">
        <f aca="false">IF(OR($A117="",$D117=""),"",INDEX(Reference!$C$61:$F$65,MATCH($D117,Reference!$A$61:$A$65,0),IF($A117&lt;=4,1,IF($A117&lt;=9,2,IF($A117&lt;=13,3,4)))))</f>
        <v/>
      </c>
      <c r="H117" s="23" t="str">
        <f aca="false">IF(OR($E117="",$G117=""),"",IF($E117&gt;$G117,"OVER","ok"))</f>
        <v/>
      </c>
      <c r="I117" s="14" t="str">
        <f aca="false">IF($A117="","",Dashboard!$B$5-SUMIFS($E$5:$E117,$F$5:$F117,"Y"))</f>
        <v/>
      </c>
      <c r="J117" s="32"/>
    </row>
    <row r="118" customFormat="false" ht="15" hidden="false" customHeight="false" outlineLevel="0" collapsed="false">
      <c r="A118" s="7"/>
      <c r="B118" s="29"/>
      <c r="C118" s="7"/>
      <c r="D118" s="7"/>
      <c r="E118" s="30"/>
      <c r="F118" s="7"/>
      <c r="G118" s="14" t="str">
        <f aca="false">IF(OR($A118="",$D118=""),"",INDEX(Reference!$C$61:$F$65,MATCH($D118,Reference!$A$61:$A$65,0),IF($A118&lt;=4,1,IF($A118&lt;=9,2,IF($A118&lt;=13,3,4)))))</f>
        <v/>
      </c>
      <c r="H118" s="23" t="str">
        <f aca="false">IF(OR($E118="",$G118=""),"",IF($E118&gt;$G118,"OVER","ok"))</f>
        <v/>
      </c>
      <c r="I118" s="14" t="str">
        <f aca="false">IF($A118="","",Dashboard!$B$5-SUMIFS($E$5:$E118,$F$5:$F118,"Y"))</f>
        <v/>
      </c>
      <c r="J118" s="32"/>
    </row>
    <row r="119" customFormat="false" ht="15" hidden="false" customHeight="false" outlineLevel="0" collapsed="false">
      <c r="A119" s="7"/>
      <c r="B119" s="29"/>
      <c r="C119" s="7"/>
      <c r="D119" s="7"/>
      <c r="E119" s="30"/>
      <c r="F119" s="7"/>
      <c r="G119" s="14" t="str">
        <f aca="false">IF(OR($A119="",$D119=""),"",INDEX(Reference!$C$61:$F$65,MATCH($D119,Reference!$A$61:$A$65,0),IF($A119&lt;=4,1,IF($A119&lt;=9,2,IF($A119&lt;=13,3,4)))))</f>
        <v/>
      </c>
      <c r="H119" s="23" t="str">
        <f aca="false">IF(OR($E119="",$G119=""),"",IF($E119&gt;$G119,"OVER","ok"))</f>
        <v/>
      </c>
      <c r="I119" s="14" t="str">
        <f aca="false">IF($A119="","",Dashboard!$B$5-SUMIFS($E$5:$E119,$F$5:$F119,"Y"))</f>
        <v/>
      </c>
      <c r="J119" s="32"/>
    </row>
    <row r="120" customFormat="false" ht="15" hidden="false" customHeight="false" outlineLevel="0" collapsed="false">
      <c r="A120" s="7"/>
      <c r="B120" s="29"/>
      <c r="C120" s="7"/>
      <c r="D120" s="7"/>
      <c r="E120" s="30"/>
      <c r="F120" s="7"/>
      <c r="G120" s="14" t="str">
        <f aca="false">IF(OR($A120="",$D120=""),"",INDEX(Reference!$C$61:$F$65,MATCH($D120,Reference!$A$61:$A$65,0),IF($A120&lt;=4,1,IF($A120&lt;=9,2,IF($A120&lt;=13,3,4)))))</f>
        <v/>
      </c>
      <c r="H120" s="23" t="str">
        <f aca="false">IF(OR($E120="",$G120=""),"",IF($E120&gt;$G120,"OVER","ok"))</f>
        <v/>
      </c>
      <c r="I120" s="14" t="str">
        <f aca="false">IF($A120="","",Dashboard!$B$5-SUMIFS($E$5:$E120,$F$5:$F120,"Y"))</f>
        <v/>
      </c>
      <c r="J120" s="32"/>
    </row>
    <row r="121" customFormat="false" ht="15" hidden="false" customHeight="false" outlineLevel="0" collapsed="false">
      <c r="A121" s="7"/>
      <c r="B121" s="29"/>
      <c r="C121" s="7"/>
      <c r="D121" s="7"/>
      <c r="E121" s="30"/>
      <c r="F121" s="7"/>
      <c r="G121" s="14" t="str">
        <f aca="false">IF(OR($A121="",$D121=""),"",INDEX(Reference!$C$61:$F$65,MATCH($D121,Reference!$A$61:$A$65,0),IF($A121&lt;=4,1,IF($A121&lt;=9,2,IF($A121&lt;=13,3,4)))))</f>
        <v/>
      </c>
      <c r="H121" s="23" t="str">
        <f aca="false">IF(OR($E121="",$G121=""),"",IF($E121&gt;$G121,"OVER","ok"))</f>
        <v/>
      </c>
      <c r="I121" s="14" t="str">
        <f aca="false">IF($A121="","",Dashboard!$B$5-SUMIFS($E$5:$E121,$F$5:$F121,"Y"))</f>
        <v/>
      </c>
      <c r="J121" s="32"/>
    </row>
    <row r="122" customFormat="false" ht="15" hidden="false" customHeight="false" outlineLevel="0" collapsed="false">
      <c r="A122" s="7"/>
      <c r="B122" s="29"/>
      <c r="C122" s="7"/>
      <c r="D122" s="7"/>
      <c r="E122" s="30"/>
      <c r="F122" s="7"/>
      <c r="G122" s="14" t="str">
        <f aca="false">IF(OR($A122="",$D122=""),"",INDEX(Reference!$C$61:$F$65,MATCH($D122,Reference!$A$61:$A$65,0),IF($A122&lt;=4,1,IF($A122&lt;=9,2,IF($A122&lt;=13,3,4)))))</f>
        <v/>
      </c>
      <c r="H122" s="23" t="str">
        <f aca="false">IF(OR($E122="",$G122=""),"",IF($E122&gt;$G122,"OVER","ok"))</f>
        <v/>
      </c>
      <c r="I122" s="14" t="str">
        <f aca="false">IF($A122="","",Dashboard!$B$5-SUMIFS($E$5:$E122,$F$5:$F122,"Y"))</f>
        <v/>
      </c>
      <c r="J122" s="32"/>
    </row>
    <row r="123" customFormat="false" ht="15" hidden="false" customHeight="false" outlineLevel="0" collapsed="false">
      <c r="A123" s="7"/>
      <c r="B123" s="29"/>
      <c r="C123" s="7"/>
      <c r="D123" s="7"/>
      <c r="E123" s="30"/>
      <c r="F123" s="7"/>
      <c r="G123" s="14" t="str">
        <f aca="false">IF(OR($A123="",$D123=""),"",INDEX(Reference!$C$61:$F$65,MATCH($D123,Reference!$A$61:$A$65,0),IF($A123&lt;=4,1,IF($A123&lt;=9,2,IF($A123&lt;=13,3,4)))))</f>
        <v/>
      </c>
      <c r="H123" s="23" t="str">
        <f aca="false">IF(OR($E123="",$G123=""),"",IF($E123&gt;$G123,"OVER","ok"))</f>
        <v/>
      </c>
      <c r="I123" s="14" t="str">
        <f aca="false">IF($A123="","",Dashboard!$B$5-SUMIFS($E$5:$E123,$F$5:$F123,"Y"))</f>
        <v/>
      </c>
      <c r="J123" s="32"/>
    </row>
    <row r="124" customFormat="false" ht="15" hidden="false" customHeight="false" outlineLevel="0" collapsed="false">
      <c r="A124" s="7"/>
      <c r="B124" s="29"/>
      <c r="C124" s="7"/>
      <c r="D124" s="7"/>
      <c r="E124" s="30"/>
      <c r="F124" s="7"/>
      <c r="G124" s="14" t="str">
        <f aca="false">IF(OR($A124="",$D124=""),"",INDEX(Reference!$C$61:$F$65,MATCH($D124,Reference!$A$61:$A$65,0),IF($A124&lt;=4,1,IF($A124&lt;=9,2,IF($A124&lt;=13,3,4)))))</f>
        <v/>
      </c>
      <c r="H124" s="23" t="str">
        <f aca="false">IF(OR($E124="",$G124=""),"",IF($E124&gt;$G124,"OVER","ok"))</f>
        <v/>
      </c>
      <c r="I124" s="14" t="str">
        <f aca="false">IF($A124="","",Dashboard!$B$5-SUMIFS($E$5:$E124,$F$5:$F124,"Y"))</f>
        <v/>
      </c>
      <c r="J124" s="32"/>
    </row>
  </sheetData>
  <dataValidations count="2">
    <dataValidation allowBlank="true" errorStyle="stop" operator="between" showDropDown="false" showErrorMessage="false" showInputMessage="false" sqref="D5:D124" type="list">
      <formula1>"Elite,Real starter,Patch,Streamer,Handcuff"</formula1>
      <formula2>0</formula2>
    </dataValidation>
    <dataValidation allowBlank="true" errorStyle="stop" operator="between" showDropDown="false" showErrorMessage="false" showInputMessage="false" sqref="F5:F12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8"/>
  </cols>
  <sheetData>
    <row r="1" customFormat="false" ht="19.7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27.75" hidden="false" customHeight="true" outlineLevel="0" collapsed="false">
      <c r="A4" s="22" t="s">
        <v>39</v>
      </c>
      <c r="B4" s="22" t="s">
        <v>125</v>
      </c>
      <c r="C4" s="22" t="s">
        <v>126</v>
      </c>
      <c r="D4" s="22" t="s">
        <v>127</v>
      </c>
      <c r="E4" s="22" t="s">
        <v>128</v>
      </c>
      <c r="F4" s="22" t="s">
        <v>129</v>
      </c>
      <c r="G4" s="22" t="s">
        <v>130</v>
      </c>
      <c r="H4" s="22" t="s">
        <v>118</v>
      </c>
    </row>
    <row r="5" customFormat="false" ht="15" hidden="false" customHeight="false" outlineLevel="0" collapsed="false">
      <c r="A5" s="23" t="n">
        <v>1</v>
      </c>
      <c r="B5" s="33"/>
      <c r="C5" s="33"/>
      <c r="D5" s="33"/>
      <c r="E5" s="20" t="str">
        <f aca="false">IF(OR($B5="",$C5=""),"",$B5-$C5)</f>
        <v/>
      </c>
      <c r="F5" s="23" t="str">
        <f aca="false">IF($E5="","",IF($E5&lt;=10,"DANGER",IF($E5&lt;=25,"Close","Safe")))</f>
        <v/>
      </c>
      <c r="G5" s="29"/>
      <c r="H5" s="29"/>
    </row>
    <row r="6" customFormat="false" ht="15" hidden="false" customHeight="false" outlineLevel="0" collapsed="false">
      <c r="A6" s="25" t="n">
        <v>2</v>
      </c>
      <c r="B6" s="33"/>
      <c r="C6" s="33"/>
      <c r="D6" s="33"/>
      <c r="E6" s="34" t="str">
        <f aca="false">IF(OR($B6="",$C6=""),"",$B6-$C6)</f>
        <v/>
      </c>
      <c r="F6" s="25" t="str">
        <f aca="false">IF($E6="","",IF($E6&lt;=10,"DANGER",IF($E6&lt;=25,"Close","Safe")))</f>
        <v/>
      </c>
      <c r="G6" s="29"/>
      <c r="H6" s="29"/>
    </row>
    <row r="7" customFormat="false" ht="15" hidden="false" customHeight="false" outlineLevel="0" collapsed="false">
      <c r="A7" s="23" t="n">
        <v>3</v>
      </c>
      <c r="B7" s="33"/>
      <c r="C7" s="33"/>
      <c r="D7" s="33"/>
      <c r="E7" s="20" t="str">
        <f aca="false">IF(OR($B7="",$C7=""),"",$B7-$C7)</f>
        <v/>
      </c>
      <c r="F7" s="23" t="str">
        <f aca="false">IF($E7="","",IF($E7&lt;=10,"DANGER",IF($E7&lt;=25,"Close","Safe")))</f>
        <v/>
      </c>
      <c r="G7" s="29"/>
      <c r="H7" s="29"/>
    </row>
    <row r="8" customFormat="false" ht="15" hidden="false" customHeight="false" outlineLevel="0" collapsed="false">
      <c r="A8" s="25" t="n">
        <v>4</v>
      </c>
      <c r="B8" s="33"/>
      <c r="C8" s="33"/>
      <c r="D8" s="33"/>
      <c r="E8" s="34" t="str">
        <f aca="false">IF(OR($B8="",$C8=""),"",$B8-$C8)</f>
        <v/>
      </c>
      <c r="F8" s="25" t="str">
        <f aca="false">IF($E8="","",IF($E8&lt;=10,"DANGER",IF($E8&lt;=25,"Close","Safe")))</f>
        <v/>
      </c>
      <c r="G8" s="29"/>
      <c r="H8" s="29"/>
    </row>
    <row r="9" customFormat="false" ht="15" hidden="false" customHeight="false" outlineLevel="0" collapsed="false">
      <c r="A9" s="23" t="n">
        <v>5</v>
      </c>
      <c r="B9" s="33"/>
      <c r="C9" s="33"/>
      <c r="D9" s="33"/>
      <c r="E9" s="20" t="str">
        <f aca="false">IF(OR($B9="",$C9=""),"",$B9-$C9)</f>
        <v/>
      </c>
      <c r="F9" s="23" t="str">
        <f aca="false">IF($E9="","",IF($E9&lt;=10,"DANGER",IF($E9&lt;=25,"Close","Safe")))</f>
        <v/>
      </c>
      <c r="G9" s="29"/>
      <c r="H9" s="29"/>
    </row>
    <row r="10" customFormat="false" ht="15" hidden="false" customHeight="false" outlineLevel="0" collapsed="false">
      <c r="A10" s="25" t="n">
        <v>6</v>
      </c>
      <c r="B10" s="33"/>
      <c r="C10" s="33"/>
      <c r="D10" s="33"/>
      <c r="E10" s="34" t="str">
        <f aca="false">IF(OR($B10="",$C10=""),"",$B10-$C10)</f>
        <v/>
      </c>
      <c r="F10" s="25" t="str">
        <f aca="false">IF($E10="","",IF($E10&lt;=10,"DANGER",IF($E10&lt;=25,"Close","Safe")))</f>
        <v/>
      </c>
      <c r="G10" s="29"/>
      <c r="H10" s="29"/>
    </row>
    <row r="11" customFormat="false" ht="15" hidden="false" customHeight="false" outlineLevel="0" collapsed="false">
      <c r="A11" s="23" t="n">
        <v>7</v>
      </c>
      <c r="B11" s="33"/>
      <c r="C11" s="33"/>
      <c r="D11" s="33"/>
      <c r="E11" s="20" t="str">
        <f aca="false">IF(OR($B11="",$C11=""),"",$B11-$C11)</f>
        <v/>
      </c>
      <c r="F11" s="23" t="str">
        <f aca="false">IF($E11="","",IF($E11&lt;=10,"DANGER",IF($E11&lt;=25,"Close","Safe")))</f>
        <v/>
      </c>
      <c r="G11" s="29"/>
      <c r="H11" s="29"/>
    </row>
    <row r="12" customFormat="false" ht="15" hidden="false" customHeight="false" outlineLevel="0" collapsed="false">
      <c r="A12" s="25" t="n">
        <v>8</v>
      </c>
      <c r="B12" s="33"/>
      <c r="C12" s="33"/>
      <c r="D12" s="33"/>
      <c r="E12" s="34" t="str">
        <f aca="false">IF(OR($B12="",$C12=""),"",$B12-$C12)</f>
        <v/>
      </c>
      <c r="F12" s="25" t="str">
        <f aca="false">IF($E12="","",IF($E12&lt;=10,"DANGER",IF($E12&lt;=25,"Close","Safe")))</f>
        <v/>
      </c>
      <c r="G12" s="29"/>
      <c r="H12" s="29"/>
    </row>
    <row r="13" customFormat="false" ht="15" hidden="false" customHeight="false" outlineLevel="0" collapsed="false">
      <c r="A13" s="23" t="n">
        <v>9</v>
      </c>
      <c r="B13" s="33"/>
      <c r="C13" s="33"/>
      <c r="D13" s="33"/>
      <c r="E13" s="20" t="str">
        <f aca="false">IF(OR($B13="",$C13=""),"",$B13-$C13)</f>
        <v/>
      </c>
      <c r="F13" s="23" t="str">
        <f aca="false">IF($E13="","",IF($E13&lt;=10,"DANGER",IF($E13&lt;=25,"Close","Safe")))</f>
        <v/>
      </c>
      <c r="G13" s="29"/>
      <c r="H13" s="29"/>
    </row>
    <row r="14" customFormat="false" ht="15" hidden="false" customHeight="false" outlineLevel="0" collapsed="false">
      <c r="A14" s="25" t="n">
        <v>10</v>
      </c>
      <c r="B14" s="33"/>
      <c r="C14" s="33"/>
      <c r="D14" s="33"/>
      <c r="E14" s="34" t="str">
        <f aca="false">IF(OR($B14="",$C14=""),"",$B14-$C14)</f>
        <v/>
      </c>
      <c r="F14" s="25" t="str">
        <f aca="false">IF($E14="","",IF($E14&lt;=10,"DANGER",IF($E14&lt;=25,"Close","Safe")))</f>
        <v/>
      </c>
      <c r="G14" s="29"/>
      <c r="H14" s="29"/>
    </row>
    <row r="15" customFormat="false" ht="15" hidden="false" customHeight="false" outlineLevel="0" collapsed="false">
      <c r="A15" s="23" t="n">
        <v>11</v>
      </c>
      <c r="B15" s="33"/>
      <c r="C15" s="33"/>
      <c r="D15" s="33"/>
      <c r="E15" s="20" t="str">
        <f aca="false">IF(OR($B15="",$C15=""),"",$B15-$C15)</f>
        <v/>
      </c>
      <c r="F15" s="23" t="str">
        <f aca="false">IF($E15="","",IF($E15&lt;=10,"DANGER",IF($E15&lt;=25,"Close","Safe")))</f>
        <v/>
      </c>
      <c r="G15" s="29"/>
      <c r="H15" s="29"/>
    </row>
    <row r="16" customFormat="false" ht="15" hidden="false" customHeight="false" outlineLevel="0" collapsed="false">
      <c r="A16" s="25" t="n">
        <v>12</v>
      </c>
      <c r="B16" s="33"/>
      <c r="C16" s="33"/>
      <c r="D16" s="33"/>
      <c r="E16" s="34" t="str">
        <f aca="false">IF(OR($B16="",$C16=""),"",$B16-$C16)</f>
        <v/>
      </c>
      <c r="F16" s="25" t="str">
        <f aca="false">IF($E16="","",IF($E16&lt;=10,"DANGER",IF($E16&lt;=25,"Close","Safe")))</f>
        <v/>
      </c>
      <c r="G16" s="29"/>
      <c r="H16" s="29"/>
    </row>
    <row r="17" customFormat="false" ht="15" hidden="false" customHeight="false" outlineLevel="0" collapsed="false">
      <c r="A17" s="23" t="n">
        <v>13</v>
      </c>
      <c r="B17" s="33"/>
      <c r="C17" s="33"/>
      <c r="D17" s="33"/>
      <c r="E17" s="20" t="str">
        <f aca="false">IF(OR($B17="",$C17=""),"",$B17-$C17)</f>
        <v/>
      </c>
      <c r="F17" s="23" t="str">
        <f aca="false">IF($E17="","",IF($E17&lt;=10,"DANGER",IF($E17&lt;=25,"Close","Safe")))</f>
        <v/>
      </c>
      <c r="G17" s="29"/>
      <c r="H17" s="29"/>
    </row>
    <row r="18" customFormat="false" ht="15" hidden="false" customHeight="false" outlineLevel="0" collapsed="false">
      <c r="A18" s="25" t="n">
        <v>14</v>
      </c>
      <c r="B18" s="33"/>
      <c r="C18" s="33"/>
      <c r="D18" s="33"/>
      <c r="E18" s="34" t="str">
        <f aca="false">IF(OR($B18="",$C18=""),"",$B18-$C18)</f>
        <v/>
      </c>
      <c r="F18" s="25" t="str">
        <f aca="false">IF($E18="","",IF($E18&lt;=10,"DANGER",IF($E18&lt;=25,"Close","Safe")))</f>
        <v/>
      </c>
      <c r="G18" s="29"/>
      <c r="H18" s="29"/>
    </row>
    <row r="19" customFormat="false" ht="15" hidden="false" customHeight="false" outlineLevel="0" collapsed="false">
      <c r="A19" s="23" t="n">
        <v>15</v>
      </c>
      <c r="B19" s="33"/>
      <c r="C19" s="33"/>
      <c r="D19" s="33"/>
      <c r="E19" s="20" t="str">
        <f aca="false">IF(OR($B19="",$C19=""),"",$B19-$C19)</f>
        <v/>
      </c>
      <c r="F19" s="23" t="str">
        <f aca="false">IF($E19="","",IF($E19&lt;=10,"DANGER",IF($E19&lt;=25,"Close","Safe")))</f>
        <v/>
      </c>
      <c r="G19" s="29"/>
      <c r="H19" s="29"/>
    </row>
    <row r="20" customFormat="false" ht="15" hidden="false" customHeight="false" outlineLevel="0" collapsed="false">
      <c r="A20" s="25" t="n">
        <v>16</v>
      </c>
      <c r="B20" s="33"/>
      <c r="C20" s="33"/>
      <c r="D20" s="33"/>
      <c r="E20" s="34" t="str">
        <f aca="false">IF(OR($B20="",$C20=""),"",$B20-$C20)</f>
        <v/>
      </c>
      <c r="F20" s="25" t="str">
        <f aca="false">IF($E20="","",IF($E20&lt;=10,"DANGER",IF($E20&lt;=25,"Close","Safe")))</f>
        <v/>
      </c>
      <c r="G20" s="29"/>
      <c r="H20" s="29"/>
    </row>
    <row r="21" customFormat="false" ht="15" hidden="false" customHeight="false" outlineLevel="0" collapsed="false">
      <c r="A21" s="23" t="n">
        <v>17</v>
      </c>
      <c r="B21" s="33"/>
      <c r="C21" s="33"/>
      <c r="D21" s="33"/>
      <c r="E21" s="20" t="str">
        <f aca="false">IF(OR($B21="",$C21=""),"",$B21-$C21)</f>
        <v/>
      </c>
      <c r="F21" s="23" t="str">
        <f aca="false">IF($E21="","",IF($E21&lt;=10,"DANGER",IF($E21&lt;=25,"Close","Safe")))</f>
        <v/>
      </c>
      <c r="G21" s="29"/>
      <c r="H21" s="29"/>
    </row>
    <row r="23" customFormat="false" ht="15" hidden="false" customHeight="false" outlineLevel="0" collapsed="false">
      <c r="A23" s="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8"/>
  </cols>
  <sheetData>
    <row r="1" customFormat="false" ht="19.7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27.75" hidden="false" customHeight="true" outlineLevel="0" collapsed="false">
      <c r="A4" s="22" t="s">
        <v>134</v>
      </c>
      <c r="B4" s="22" t="s">
        <v>111</v>
      </c>
      <c r="C4" s="22" t="s">
        <v>112</v>
      </c>
      <c r="D4" s="22" t="s">
        <v>61</v>
      </c>
      <c r="E4" s="22" t="s">
        <v>62</v>
      </c>
      <c r="F4" s="22" t="s">
        <v>135</v>
      </c>
      <c r="G4" s="22" t="s">
        <v>136</v>
      </c>
      <c r="H4" s="22" t="s">
        <v>118</v>
      </c>
    </row>
    <row r="5" customFormat="false" ht="15" hidden="false" customHeight="false" outlineLevel="0" collapsed="false">
      <c r="A5" s="35" t="s">
        <v>137</v>
      </c>
      <c r="B5" s="29"/>
      <c r="C5" s="7"/>
      <c r="D5" s="7"/>
      <c r="E5" s="23" t="str">
        <f aca="false">IF($D5="","",IFERROR(INDEX(Reference!$B$25:$B$56,MATCH($D5,Reference!$A$25:$A$56,0)),"?"))</f>
        <v/>
      </c>
      <c r="F5" s="29"/>
      <c r="G5" s="30"/>
      <c r="H5" s="29"/>
    </row>
    <row r="6" customFormat="false" ht="15" hidden="false" customHeight="false" outlineLevel="0" collapsed="false">
      <c r="A6" s="35" t="s">
        <v>138</v>
      </c>
      <c r="B6" s="29"/>
      <c r="C6" s="7"/>
      <c r="D6" s="7"/>
      <c r="E6" s="23" t="str">
        <f aca="false">IF($D6="","",IFERROR(INDEX(Reference!$B$25:$B$56,MATCH($D6,Reference!$A$25:$A$56,0)),"?"))</f>
        <v/>
      </c>
      <c r="F6" s="29"/>
      <c r="G6" s="30"/>
      <c r="H6" s="29"/>
    </row>
    <row r="7" customFormat="false" ht="15" hidden="false" customHeight="false" outlineLevel="0" collapsed="false">
      <c r="A7" s="35" t="s">
        <v>139</v>
      </c>
      <c r="B7" s="29"/>
      <c r="C7" s="7"/>
      <c r="D7" s="7"/>
      <c r="E7" s="23" t="str">
        <f aca="false">IF($D7="","",IFERROR(INDEX(Reference!$B$25:$B$56,MATCH($D7,Reference!$A$25:$A$56,0)),"?"))</f>
        <v/>
      </c>
      <c r="F7" s="29"/>
      <c r="G7" s="30"/>
      <c r="H7" s="29"/>
    </row>
    <row r="8" customFormat="false" ht="15" hidden="false" customHeight="false" outlineLevel="0" collapsed="false">
      <c r="A8" s="35" t="s">
        <v>140</v>
      </c>
      <c r="B8" s="29"/>
      <c r="C8" s="7"/>
      <c r="D8" s="7"/>
      <c r="E8" s="23" t="str">
        <f aca="false">IF($D8="","",IFERROR(INDEX(Reference!$B$25:$B$56,MATCH($D8,Reference!$A$25:$A$56,0)),"?"))</f>
        <v/>
      </c>
      <c r="F8" s="29"/>
      <c r="G8" s="30"/>
      <c r="H8" s="29"/>
    </row>
    <row r="9" customFormat="false" ht="15" hidden="false" customHeight="false" outlineLevel="0" collapsed="false">
      <c r="A9" s="35" t="s">
        <v>141</v>
      </c>
      <c r="B9" s="29"/>
      <c r="C9" s="7"/>
      <c r="D9" s="7"/>
      <c r="E9" s="23" t="str">
        <f aca="false">IF($D9="","",IFERROR(INDEX(Reference!$B$25:$B$56,MATCH($D9,Reference!$A$25:$A$56,0)),"?"))</f>
        <v/>
      </c>
      <c r="F9" s="29"/>
      <c r="G9" s="30"/>
      <c r="H9" s="29"/>
    </row>
    <row r="10" customFormat="false" ht="15" hidden="false" customHeight="false" outlineLevel="0" collapsed="false">
      <c r="A10" s="35" t="s">
        <v>142</v>
      </c>
      <c r="B10" s="29"/>
      <c r="C10" s="7"/>
      <c r="D10" s="7"/>
      <c r="E10" s="23" t="str">
        <f aca="false">IF($D10="","",IFERROR(INDEX(Reference!$B$25:$B$56,MATCH($D10,Reference!$A$25:$A$56,0)),"?"))</f>
        <v/>
      </c>
      <c r="F10" s="29"/>
      <c r="G10" s="30"/>
      <c r="H10" s="29"/>
    </row>
    <row r="11" customFormat="false" ht="15" hidden="false" customHeight="false" outlineLevel="0" collapsed="false">
      <c r="A11" s="35" t="s">
        <v>143</v>
      </c>
      <c r="B11" s="29"/>
      <c r="C11" s="7"/>
      <c r="D11" s="7"/>
      <c r="E11" s="23" t="str">
        <f aca="false">IF($D11="","",IFERROR(INDEX(Reference!$B$25:$B$56,MATCH($D11,Reference!$A$25:$A$56,0)),"?"))</f>
        <v/>
      </c>
      <c r="F11" s="29"/>
      <c r="G11" s="30"/>
      <c r="H11" s="29"/>
    </row>
    <row r="12" customFormat="false" ht="15" hidden="false" customHeight="false" outlineLevel="0" collapsed="false">
      <c r="A12" s="36" t="s">
        <v>144</v>
      </c>
      <c r="B12" s="29"/>
      <c r="C12" s="7"/>
      <c r="D12" s="7"/>
      <c r="E12" s="23" t="str">
        <f aca="false">IF($D12="","",IFERROR(INDEX(Reference!$B$25:$B$56,MATCH($D12,Reference!$A$25:$A$56,0)),"?"))</f>
        <v/>
      </c>
      <c r="F12" s="29"/>
      <c r="G12" s="30"/>
      <c r="H12" s="29"/>
    </row>
    <row r="13" customFormat="false" ht="15" hidden="false" customHeight="false" outlineLevel="0" collapsed="false">
      <c r="A13" s="36" t="s">
        <v>145</v>
      </c>
      <c r="B13" s="29"/>
      <c r="C13" s="7"/>
      <c r="D13" s="7"/>
      <c r="E13" s="23" t="str">
        <f aca="false">IF($D13="","",IFERROR(INDEX(Reference!$B$25:$B$56,MATCH($D13,Reference!$A$25:$A$56,0)),"?"))</f>
        <v/>
      </c>
      <c r="F13" s="29"/>
      <c r="G13" s="30"/>
      <c r="H13" s="29"/>
    </row>
    <row r="14" customFormat="false" ht="15" hidden="false" customHeight="false" outlineLevel="0" collapsed="false">
      <c r="A14" s="36" t="s">
        <v>146</v>
      </c>
      <c r="B14" s="29"/>
      <c r="C14" s="7"/>
      <c r="D14" s="7"/>
      <c r="E14" s="23" t="str">
        <f aca="false">IF($D14="","",IFERROR(INDEX(Reference!$B$25:$B$56,MATCH($D14,Reference!$A$25:$A$56,0)),"?"))</f>
        <v/>
      </c>
      <c r="F14" s="29"/>
      <c r="G14" s="30"/>
      <c r="H14" s="29"/>
    </row>
    <row r="15" customFormat="false" ht="15" hidden="false" customHeight="false" outlineLevel="0" collapsed="false">
      <c r="A15" s="36" t="s">
        <v>147</v>
      </c>
      <c r="B15" s="29"/>
      <c r="C15" s="7"/>
      <c r="D15" s="7"/>
      <c r="E15" s="23" t="str">
        <f aca="false">IF($D15="","",IFERROR(INDEX(Reference!$B$25:$B$56,MATCH($D15,Reference!$A$25:$A$56,0)),"?"))</f>
        <v/>
      </c>
      <c r="F15" s="29"/>
      <c r="G15" s="30"/>
      <c r="H15" s="29"/>
    </row>
    <row r="16" customFormat="false" ht="15" hidden="false" customHeight="false" outlineLevel="0" collapsed="false">
      <c r="A16" s="36" t="s">
        <v>148</v>
      </c>
      <c r="B16" s="29"/>
      <c r="C16" s="7"/>
      <c r="D16" s="7"/>
      <c r="E16" s="23" t="str">
        <f aca="false">IF($D16="","",IFERROR(INDEX(Reference!$B$25:$B$56,MATCH($D16,Reference!$A$25:$A$56,0)),"?"))</f>
        <v/>
      </c>
      <c r="F16" s="29"/>
      <c r="G16" s="30"/>
      <c r="H16" s="29"/>
    </row>
    <row r="17" customFormat="false" ht="15" hidden="false" customHeight="false" outlineLevel="0" collapsed="false">
      <c r="A17" s="36" t="s">
        <v>149</v>
      </c>
      <c r="B17" s="29"/>
      <c r="C17" s="7"/>
      <c r="D17" s="7"/>
      <c r="E17" s="23" t="str">
        <f aca="false">IF($D17="","",IFERROR(INDEX(Reference!$B$25:$B$56,MATCH($D17,Reference!$A$25:$A$56,0)),"?"))</f>
        <v/>
      </c>
      <c r="F17" s="29"/>
      <c r="G17" s="30"/>
      <c r="H17" s="29"/>
    </row>
    <row r="18" customFormat="false" ht="15" hidden="false" customHeight="false" outlineLevel="0" collapsed="false">
      <c r="A18" s="36" t="s">
        <v>150</v>
      </c>
      <c r="B18" s="29"/>
      <c r="C18" s="7"/>
      <c r="D18" s="7"/>
      <c r="E18" s="23" t="str">
        <f aca="false">IF($D18="","",IFERROR(INDEX(Reference!$B$25:$B$56,MATCH($D18,Reference!$A$25:$A$56,0)),"?"))</f>
        <v/>
      </c>
      <c r="F18" s="29"/>
      <c r="G18" s="30"/>
      <c r="H18" s="29"/>
    </row>
    <row r="21" customFormat="false" ht="15" hidden="false" customHeight="false" outlineLevel="0" collapsed="false">
      <c r="A21" s="37" t="s">
        <v>151</v>
      </c>
    </row>
    <row r="22" customFormat="false" ht="15" hidden="false" customHeight="false" outlineLevel="0" collapsed="false">
      <c r="A22" s="2" t="s">
        <v>152</v>
      </c>
    </row>
    <row r="23" customFormat="false" ht="27.75" hidden="false" customHeight="true" outlineLevel="0" collapsed="false">
      <c r="A23" s="22" t="s">
        <v>39</v>
      </c>
      <c r="B23" s="11" t="s">
        <v>153</v>
      </c>
      <c r="C23" s="11" t="s">
        <v>154</v>
      </c>
      <c r="D23" s="11" t="s">
        <v>155</v>
      </c>
      <c r="E23" s="11" t="s">
        <v>156</v>
      </c>
      <c r="F23" s="11" t="s">
        <v>157</v>
      </c>
      <c r="G23" s="11" t="s">
        <v>158</v>
      </c>
      <c r="H23" s="11" t="s">
        <v>159</v>
      </c>
      <c r="I23" s="11" t="s">
        <v>160</v>
      </c>
      <c r="J23" s="11" t="s">
        <v>161</v>
      </c>
    </row>
    <row r="24" customFormat="false" ht="15" hidden="false" customHeight="false" outlineLevel="0" collapsed="false">
      <c r="A24" s="38" t="s">
        <v>162</v>
      </c>
      <c r="B24" s="23" t="n">
        <f aca="false">COUNTIFS($E$5:$E$18,5)</f>
        <v>0</v>
      </c>
      <c r="C24" s="23" t="n">
        <f aca="false">COUNTIFS($E$5:$E$18,6)</f>
        <v>0</v>
      </c>
      <c r="D24" s="23" t="n">
        <f aca="false">COUNTIFS($E$5:$E$18,7)</f>
        <v>0</v>
      </c>
      <c r="E24" s="23" t="n">
        <f aca="false">COUNTIFS($E$5:$E$18,8)</f>
        <v>0</v>
      </c>
      <c r="F24" s="23" t="n">
        <f aca="false">COUNTIFS($E$5:$E$18,9)</f>
        <v>0</v>
      </c>
      <c r="G24" s="23" t="n">
        <f aca="false">COUNTIFS($E$5:$E$18,10)</f>
        <v>0</v>
      </c>
      <c r="H24" s="23" t="n">
        <f aca="false">COUNTIFS($E$5:$E$18,11)</f>
        <v>0</v>
      </c>
      <c r="I24" s="23" t="n">
        <f aca="false">COUNTIFS($E$5:$E$18,13)</f>
        <v>0</v>
      </c>
      <c r="J24" s="23" t="n">
        <f aca="false">COUNTIFS($E$5:$E$18,14)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2026-08-16T19:24:42Z</dcterms:created>
  <dc:creator>openpyxl</dc:creator>
  <dc:description/>
  <dc:language>en-US</dc:language>
  <cp:lastModifiedBy/>
  <dcterms:modified xsi:type="dcterms:W3CDTF">2026-08-16T19:24:42Z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